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Классы_машин" sheetId="2" state="visible" r:id="rId2"/>
    <sheet name="Интерфейсы" sheetId="3" state="visible" r:id="rId3"/>
    <sheet name="J1939_параметры" sheetId="4" state="visible" r:id="rId4"/>
    <sheet name="Оборудование" sheetId="5" state="visible" r:id="rId5"/>
    <sheet name="Протоколы" sheetId="6" state="visible" r:id="rId6"/>
    <sheet name="Связь" sheetId="7" state="visible" r:id="rId7"/>
    <sheet name="Трафик_расчёт" sheetId="8" state="visible" r:id="rId8"/>
    <sheet name="Хранилище_расчёт" sheetId="9" state="visible" r:id="rId9"/>
    <sheet name="Спрос_масла" sheetId="10" state="visible" r:id="rId10"/>
    <sheet name="Экономика" sheetId="11" state="visible" r:id="rId11"/>
    <sheet name="Сим_моточасы_пробег" sheetId="12" state="visible" r:id="rId12"/>
    <sheet name="Сим_связь" sheetId="13" state="visible" r:id="rId13"/>
    <sheet name="Сим_прогноз_ТО" sheetId="14" state="visible" r:id="rId14"/>
    <sheet name="Сим_варианты" sheetId="15" state="visible" r:id="rId15"/>
    <sheet name="E2E_Traccar" sheetId="16" state="visible" r:id="rId16"/>
    <sheet name="Риски" sheetId="17" state="visible" r:id="rId17"/>
    <sheet name="Дорожная_карта" sheetId="18" state="visible" r:id="rId18"/>
    <sheet name="Вопросы" sheetId="19" state="visible" r:id="rId19"/>
    <sheet name="Проверка_v2" sheetId="20" state="visible" r:id="rId20"/>
    <sheet name="Источники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ITles × FUCHS: телематика моточасов, пробега и местоположения спецтехники</t>
        </is>
      </c>
      <c r="B1" s="2" t="inlineStr"/>
    </row>
    <row r="2">
      <c r="A2" s="1" t="inlineStr">
        <is>
          <t>Назначение</t>
        </is>
      </c>
      <c r="B2" s="2" t="inlineStr">
        <is>
          <t>Табличные данные и расчёты к диздоку docs/design/DESIGN.md.</t>
        </is>
      </c>
    </row>
    <row r="3">
      <c r="A3" s="1" t="inlineStr">
        <is>
          <t>Цвета</t>
        </is>
      </c>
      <c r="B3" s="2" t="inlineStr">
        <is>
          <t>Жёлтый — ввод; оранжевый — плейсхолдер (заменить данными OEM/FUCHS); зелёный — формула; голубой — результат стенда/модели.</t>
        </is>
      </c>
    </row>
    <row r="4">
      <c r="A4" s="1" t="inlineStr">
        <is>
          <t>Статусы</t>
        </is>
      </c>
      <c r="B4" s="2" t="inlineStr">
        <is>
          <t>«подтверждено» — есть источник (лист «Источники»); «модель» — результат симуляции с допущениями; «проверить» — не подтверждено.</t>
        </is>
      </c>
    </row>
    <row r="5">
      <c r="A5" s="1" t="inlineStr">
        <is>
          <t>Воспроизведение</t>
        </is>
      </c>
      <c r="B5" s="2" t="inlineStr">
        <is>
          <t>python scripts/run_scenarios.py; python scripts/traccar_e2e.py; python scripts/build_workbook.py</t>
        </is>
      </c>
    </row>
    <row r="6">
      <c r="A6" s="1" t="inlineStr">
        <is>
          <t>Дата сборки</t>
        </is>
      </c>
      <c r="B6" s="2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8" customWidth="1" min="3" max="3"/>
    <col width="32" customWidth="1" min="4" max="4"/>
    <col width="22" customWidth="1" min="5" max="5"/>
    <col width="30" customWidth="1" min="6" max="6"/>
    <col width="24" customWidth="1" min="7" max="7"/>
    <col width="40" customWidth="1" min="8" max="8"/>
    <col width="12" customWidth="1" min="9" max="9"/>
    <col width="10" customWidth="1" min="10" max="10"/>
  </cols>
  <sheetData>
    <row r="1" ht="45" customHeight="1">
      <c r="A1" s="3" t="inlineStr">
        <is>
          <t>Класс интеграции определяется экземпляром (двигатель, год, модификация), а не маркой. Коды классов — на листе «Интерфейсы».</t>
        </is>
      </c>
    </row>
    <row r="2">
      <c r="A2" s="4" t="inlineStr">
        <is>
          <t>Сфера</t>
        </is>
      </c>
      <c r="B2" s="4" t="inlineStr">
        <is>
          <t>Класс машины</t>
        </is>
      </c>
      <c r="C2" s="4" t="inlineStr">
        <is>
          <t>Представительные модели в РФ</t>
        </is>
      </c>
      <c r="D2" s="4" t="inlineStr">
        <is>
          <t>Двигатель / управление</t>
        </is>
      </c>
      <c r="E2" s="4" t="inlineStr">
        <is>
          <t>Класс интеграции</t>
        </is>
      </c>
      <c r="F2" s="4" t="inlineStr">
        <is>
          <t>Источник моточасов</t>
        </is>
      </c>
      <c r="G2" s="4" t="inlineStr">
        <is>
          <t>Источник пробега</t>
        </is>
      </c>
      <c r="H2" s="4" t="inlineStr">
        <is>
          <t>Рекомендуемое подключение</t>
        </is>
      </c>
      <c r="I2" s="4" t="inlineStr">
        <is>
          <t>Уверенность</t>
        </is>
      </c>
      <c r="J2" s="4" t="inlineStr">
        <is>
          <t>Источник</t>
        </is>
      </c>
    </row>
    <row r="3">
      <c r="A3" s="2" t="inlineStr">
        <is>
          <t>Поле</t>
        </is>
      </c>
      <c r="B3" s="2" t="inlineStr">
        <is>
          <t>Трактор тяжёлый колёсный (5–8 кл.)</t>
        </is>
      </c>
      <c r="C3" s="2" t="inlineStr">
        <is>
          <t>Кировец К-7М, К-525; RSM 2375/3575; МТЗ-3522</t>
        </is>
      </c>
      <c r="D3" s="2" t="inlineStr">
        <is>
          <t>Электронный (ТМЗ, ЯМЗ-536, Cummins), J1939</t>
        </is>
      </c>
      <c r="E3" s="2" t="inlineStr">
        <is>
          <t>A; F (Кировец-Агромонитор, Агротроник)</t>
        </is>
      </c>
      <c r="F3" s="2" t="inlineStr">
        <is>
          <t>CAN, SPN 247</t>
        </is>
      </c>
      <c r="G3" s="2" t="inlineStr">
        <is>
          <t>GNSS (CAN-одометр не гарантирован)</t>
        </is>
      </c>
      <c r="H3" s="2" t="inlineStr">
        <is>
          <t>Трекер с CAN через бесконтактный считыватель; альтернатива — API OEM</t>
        </is>
      </c>
      <c r="I3" s="2" t="inlineStr">
        <is>
          <t>средняя</t>
        </is>
      </c>
      <c r="J3" s="2" t="inlineStr">
        <is>
          <t>S15, S16</t>
        </is>
      </c>
    </row>
    <row r="4">
      <c r="A4" s="2" t="inlineStr">
        <is>
          <t>Поле</t>
        </is>
      </c>
      <c r="B4" s="2" t="inlineStr">
        <is>
          <t>Трактор старого парка</t>
        </is>
      </c>
      <c r="C4" s="2" t="inlineStr">
        <is>
          <t>МТЗ-80/82.1 (Д-243), ЮМЗ-6, Т-40, Т-150К (ЯМЗ-238), ДТ-75</t>
        </is>
      </c>
      <c r="D4" s="2" t="inlineStr">
        <is>
          <t>Механический ТНВД, ЭБУ и CAN нет</t>
        </is>
      </c>
      <c r="E4" s="2" t="inlineStr">
        <is>
          <t>E</t>
        </is>
      </c>
      <c r="F4" s="2" t="inlineStr">
        <is>
          <t>D+ или порог напряжения + сверка со счётчиком (фото)</t>
        </is>
      </c>
      <c r="G4" s="2" t="inlineStr">
        <is>
          <t>GNSS</t>
        </is>
      </c>
      <c r="H4" s="2" t="inlineStr">
        <is>
          <t>Трекер без CAN, вход D+, стартовое показание счётчика</t>
        </is>
      </c>
      <c r="I4" s="2" t="inlineStr">
        <is>
          <t>высокая</t>
        </is>
      </c>
      <c r="J4" s="2" t="inlineStr">
        <is>
          <t>S33</t>
        </is>
      </c>
    </row>
    <row r="5">
      <c r="A5" s="2" t="inlineStr">
        <is>
          <t>Поле</t>
        </is>
      </c>
      <c r="B5" s="2" t="inlineStr">
        <is>
          <t>Трактор средний современный</t>
        </is>
      </c>
      <c r="C5" s="2" t="inlineStr">
        <is>
          <t>МТЗ-1221/1523 (Д-260.1), МТЗ-2022</t>
        </is>
      </c>
      <c r="D5" s="2" t="inlineStr">
        <is>
          <t>Зависит от модификации: механика или электроника</t>
        </is>
      </c>
      <c r="E5" s="2" t="inlineStr">
        <is>
          <t>A или E — проверить экземпляр</t>
        </is>
      </c>
      <c r="F5" s="2" t="inlineStr">
        <is>
          <t>CAN или D+</t>
        </is>
      </c>
      <c r="G5" s="2" t="inlineStr">
        <is>
          <t>GNSS</t>
        </is>
      </c>
      <c r="H5" s="2" t="inlineStr">
        <is>
          <t>Осмотр при монтаже: есть ли ЭБУ двигателя</t>
        </is>
      </c>
      <c r="I5" s="2" t="inlineStr">
        <is>
          <t>проверить</t>
        </is>
      </c>
      <c r="J5" s="2" t="inlineStr">
        <is>
          <t>S19</t>
        </is>
      </c>
    </row>
    <row r="6">
      <c r="A6" s="2" t="inlineStr">
        <is>
          <t>Поле</t>
        </is>
      </c>
      <c r="B6" s="2" t="inlineStr">
        <is>
          <t>Тракторы китайских марок</t>
        </is>
      </c>
      <c r="C6" s="2" t="inlineStr">
        <is>
          <t>Lovol, YTO, Weichai, Zoomlion</t>
        </is>
      </c>
      <c r="D6" s="2" t="inlineStr">
        <is>
          <t>Зависит от двигателя (Weichai/Perkins/Yuchai)</t>
        </is>
      </c>
      <c r="E6" s="2" t="inlineStr">
        <is>
          <t>A или E</t>
        </is>
      </c>
      <c r="F6" s="2" t="inlineStr">
        <is>
          <t>CAN или D+</t>
        </is>
      </c>
      <c r="G6" s="2" t="inlineStr">
        <is>
          <t>GNSS</t>
        </is>
      </c>
      <c r="H6" s="2" t="inlineStr">
        <is>
          <t>Проверка экземпляра</t>
        </is>
      </c>
      <c r="I6" s="2" t="inlineStr">
        <is>
          <t>проверить</t>
        </is>
      </c>
      <c r="J6" s="2" t="inlineStr">
        <is>
          <t>—</t>
        </is>
      </c>
    </row>
    <row r="7">
      <c r="A7" s="2" t="inlineStr">
        <is>
          <t>Поле</t>
        </is>
      </c>
      <c r="B7" s="2" t="inlineStr">
        <is>
          <t>Зерноуборочный комбайн</t>
        </is>
      </c>
      <c r="C7" s="2" t="inlineStr">
        <is>
          <t>Ростсельмаш ACROS/TORUM/RSM 161, Claas (Краснодар), Гомсельмаш</t>
        </is>
      </c>
      <c r="D7" s="2" t="inlineStr">
        <is>
          <t>Электронный, CAN</t>
        </is>
      </c>
      <c r="E7" s="2" t="inlineStr">
        <is>
          <t>A; F (РСМ Агротроник, CLAAS Telematics)</t>
        </is>
      </c>
      <c r="F7" s="2" t="inlineStr">
        <is>
          <t>CAN или API OEM</t>
        </is>
      </c>
      <c r="G7" s="2" t="inlineStr">
        <is>
          <t>GNSS</t>
        </is>
      </c>
      <c r="H7" s="2" t="inlineStr">
        <is>
          <t>CAN-считыватель с программой модели либо интеграция с OEM</t>
        </is>
      </c>
      <c r="I7" s="2" t="inlineStr">
        <is>
          <t>средняя</t>
        </is>
      </c>
      <c r="J7" s="2" t="inlineStr">
        <is>
          <t>S16</t>
        </is>
      </c>
    </row>
    <row r="8">
      <c r="A8" s="2" t="inlineStr">
        <is>
          <t>Поле</t>
        </is>
      </c>
      <c r="B8" s="2" t="inlineStr">
        <is>
          <t>Навесные и прицепные орудия (ISOBUS)</t>
        </is>
      </c>
      <c r="C8" s="2" t="inlineStr">
        <is>
          <t>Сеялки, опрыскиватели, пресс-подборщики</t>
        </is>
      </c>
      <c r="D8" s="2" t="inlineStr">
        <is>
          <t>Нет своего ДВС</t>
        </is>
      </c>
      <c r="E8" s="2" t="inlineStr">
        <is>
          <t>C — моточасы не применимы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Не подключаются отдельно; учёт через трактор</t>
        </is>
      </c>
      <c r="I8" s="2" t="inlineStr">
        <is>
          <t>высокая</t>
        </is>
      </c>
      <c r="J8" s="2" t="inlineStr">
        <is>
          <t>S5</t>
        </is>
      </c>
    </row>
    <row r="9">
      <c r="A9" s="2" t="inlineStr">
        <is>
          <t>Лес</t>
        </is>
      </c>
      <c r="B9" s="2" t="inlineStr">
        <is>
          <t>Харвестер</t>
        </is>
      </c>
      <c r="C9" s="2" t="inlineStr">
        <is>
          <t>Амкодор 2551/2561, Ponsse, John Deere 1270/1470, Komatsu 931/951</t>
        </is>
      </c>
      <c r="D9" s="2" t="inlineStr">
        <is>
          <t>Электронный (Cummins, Mercedes, Deere), J1939</t>
        </is>
      </c>
      <c r="E9" s="2" t="inlineStr">
        <is>
          <t>A/B; G (StanForD 2010)</t>
        </is>
      </c>
      <c r="F9" s="2" t="inlineStr">
        <is>
          <t>CAN (при необходимости активный запрос PGN 65253) или файл StanForD</t>
        </is>
      </c>
      <c r="G9" s="2" t="inlineStr">
        <is>
          <t>GNSS (малозначим)</t>
        </is>
      </c>
      <c r="H9" s="2" t="inlineStr">
        <is>
          <t>Трекер с CAN и большим архивом; выгрузка на волоке/через спутник</t>
        </is>
      </c>
      <c r="I9" s="2" t="inlineStr">
        <is>
          <t>средняя</t>
        </is>
      </c>
      <c r="J9" s="2" t="inlineStr">
        <is>
          <t>S18</t>
        </is>
      </c>
    </row>
    <row r="10">
      <c r="A10" s="2" t="inlineStr">
        <is>
          <t>Лес</t>
        </is>
      </c>
      <c r="B10" s="2" t="inlineStr">
        <is>
          <t>Форвардер</t>
        </is>
      </c>
      <c r="C10" s="2" t="inlineStr">
        <is>
          <t>Амкодор 2661/2662, Ponsse Buffalo/Elk, John Deere 1110/1210</t>
        </is>
      </c>
      <c r="D10" s="2" t="inlineStr">
        <is>
          <t>Электронный, J1939</t>
        </is>
      </c>
      <c r="E10" s="2" t="inlineStr">
        <is>
          <t>A/B; G</t>
        </is>
      </c>
      <c r="F10" s="2" t="inlineStr">
        <is>
          <t>CAN</t>
        </is>
      </c>
      <c r="G10" s="2" t="inlineStr">
        <is>
          <t>GNSS</t>
        </is>
      </c>
      <c r="H10" s="2" t="inlineStr">
        <is>
          <t>Как харвестер</t>
        </is>
      </c>
      <c r="I10" s="2" t="inlineStr">
        <is>
          <t>средняя</t>
        </is>
      </c>
      <c r="J10" s="2" t="inlineStr">
        <is>
          <t>S18</t>
        </is>
      </c>
    </row>
    <row r="11">
      <c r="A11" s="2" t="inlineStr">
        <is>
          <t>Лес</t>
        </is>
      </c>
      <c r="B11" s="2" t="inlineStr">
        <is>
          <t>Трелёвочный трактор (скиддер)</t>
        </is>
      </c>
      <c r="C11" s="2" t="inlineStr">
        <is>
          <t>ТЛТ-100, ТТ-4М (старый парк), Амкодор 2243</t>
        </is>
      </c>
      <c r="D11" s="2" t="inlineStr">
        <is>
          <t>Старые — механика, новые — электроника</t>
        </is>
      </c>
      <c r="E11" s="2" t="inlineStr">
        <is>
          <t>E или A</t>
        </is>
      </c>
      <c r="F11" s="2" t="inlineStr">
        <is>
          <t>D+ или CAN</t>
        </is>
      </c>
      <c r="G11" s="2" t="inlineStr">
        <is>
          <t>GNSS</t>
        </is>
      </c>
      <c r="H11" s="2" t="inlineStr">
        <is>
          <t>Проверка экземпляра</t>
        </is>
      </c>
      <c r="I11" s="2" t="inlineStr">
        <is>
          <t>проверить</t>
        </is>
      </c>
      <c r="J11" s="2" t="inlineStr">
        <is>
          <t>—</t>
        </is>
      </c>
    </row>
    <row r="12">
      <c r="A12" s="2" t="inlineStr">
        <is>
          <t>Лес/дорога</t>
        </is>
      </c>
      <c r="B12" s="2" t="inlineStr">
        <is>
          <t>Лесовоз с манипулятором</t>
        </is>
      </c>
      <c r="C12" s="2" t="inlineStr">
        <is>
          <t>КАМАЗ-43118/65222, Урал-4320/NEXT, МАЗ-6317, Sitrak, Shacman, Howo</t>
        </is>
      </c>
      <c r="D12" s="2" t="inlineStr">
        <is>
          <t>Евро-4/5 — электроника (J1939/FMS); старые — механика</t>
        </is>
      </c>
      <c r="E12" s="2" t="inlineStr">
        <is>
          <t>A (FMS) или E</t>
        </is>
      </c>
      <c r="F12" s="2" t="inlineStr">
        <is>
          <t>CAN, SPN 247</t>
        </is>
      </c>
      <c r="G12" s="2" t="inlineStr">
        <is>
          <t>CAN-одометр (PGN 65217/65248)</t>
        </is>
      </c>
      <c r="H12" s="2" t="inlineStr">
        <is>
          <t>Трекер с CAN; учесть обязательный ГЛОНАСС-терминал для ФГИС ЛК</t>
        </is>
      </c>
      <c r="I12" s="2" t="inlineStr">
        <is>
          <t>средняя</t>
        </is>
      </c>
      <c r="J12" s="2" t="inlineStr">
        <is>
          <t>S23, S24</t>
        </is>
      </c>
    </row>
    <row r="13">
      <c r="A13" s="2" t="inlineStr">
        <is>
          <t>Лес/склад</t>
        </is>
      </c>
      <c r="B13" s="2" t="inlineStr">
        <is>
          <t>Погрузчик на лесоскладе</t>
        </is>
      </c>
      <c r="C13" s="2" t="inlineStr">
        <is>
          <t>Амкодор 352, LiuGong, SDLG</t>
        </is>
      </c>
      <c r="D13" s="2" t="inlineStr">
        <is>
          <t>Электронный у новых</t>
        </is>
      </c>
      <c r="E13" s="2" t="inlineStr">
        <is>
          <t>A или E</t>
        </is>
      </c>
      <c r="F13" s="2" t="inlineStr">
        <is>
          <t>CAN или D+</t>
        </is>
      </c>
      <c r="G13" s="2" t="inlineStr">
        <is>
          <t>GNSS (малозначим)</t>
        </is>
      </c>
      <c r="H13" s="2" t="inlineStr">
        <is>
          <t>Трекер с CAN</t>
        </is>
      </c>
      <c r="I13" s="2" t="inlineStr">
        <is>
          <t>проверить</t>
        </is>
      </c>
      <c r="J13" s="2" t="inlineStr">
        <is>
          <t>—</t>
        </is>
      </c>
    </row>
    <row r="14">
      <c r="A14" s="2" t="inlineStr">
        <is>
          <t>Карьер</t>
        </is>
      </c>
      <c r="B14" s="2" t="inlineStr">
        <is>
          <t>Карьерный самосвал</t>
        </is>
      </c>
      <c r="C14" s="2" t="inlineStr">
        <is>
          <t>БелАЗ-7547/7555/7513, XCMG XDE, SANY SKT, Tonly</t>
        </is>
      </c>
      <c r="D14" s="2" t="inlineStr">
        <is>
          <t>Электронный (Cummins QSK/QST, MTU, Weichai), J1939</t>
        </is>
      </c>
      <c r="E14" s="2" t="inlineStr">
        <is>
          <t>A</t>
        </is>
      </c>
      <c r="F14" s="2" t="inlineStr">
        <is>
          <t>CAN</t>
        </is>
      </c>
      <c r="G14" s="2" t="inlineStr">
        <is>
          <t>CAN-одометр</t>
        </is>
      </c>
      <c r="H14" s="2" t="inlineStr">
        <is>
          <t>Трекер с CAN; совместимость с диспетчерской системой карьера</t>
        </is>
      </c>
      <c r="I14" s="2" t="inlineStr">
        <is>
          <t>средняя</t>
        </is>
      </c>
      <c r="J14" s="2" t="inlineStr">
        <is>
          <t>S32</t>
        </is>
      </c>
    </row>
    <row r="15">
      <c r="A15" s="2" t="inlineStr">
        <is>
          <t>Карьер</t>
        </is>
      </c>
      <c r="B15" s="2" t="inlineStr">
        <is>
          <t>Экскаватор гидравлический</t>
        </is>
      </c>
      <c r="C15" s="2" t="inlineStr">
        <is>
          <t>SANY SY500H/SY750H, XCMG XE490/XE700, парк Komatsu/Hitachi</t>
        </is>
      </c>
      <c r="D15" s="2" t="inlineStr">
        <is>
          <t>Электронный, J1939</t>
        </is>
      </c>
      <c r="E15" s="2" t="inlineStr">
        <is>
          <t>A; F (облака OEM)</t>
        </is>
      </c>
      <c r="F15" s="2" t="inlineStr">
        <is>
          <t>CAN</t>
        </is>
      </c>
      <c r="G15" s="2" t="inlineStr">
        <is>
          <t>Не применим (гусеницы): показывать только моточасы</t>
        </is>
      </c>
      <c r="H15" s="2" t="inlineStr">
        <is>
          <t>Трекер с CAN; фильтр ложного пробега от поворота кабины</t>
        </is>
      </c>
      <c r="I15" s="2" t="inlineStr">
        <is>
          <t>средняя</t>
        </is>
      </c>
      <c r="J15" s="2" t="inlineStr">
        <is>
          <t>—</t>
        </is>
      </c>
    </row>
    <row r="16">
      <c r="A16" s="2" t="inlineStr">
        <is>
          <t>Карьер</t>
        </is>
      </c>
      <c r="B16" s="2" t="inlineStr">
        <is>
          <t>Экскаватор электрический канатный (ЭКГ)</t>
        </is>
      </c>
      <c r="C16" s="2" t="inlineStr">
        <is>
          <t>ИЗ-КАРТЭКС ЭКГ-10/12/18, Уралмаш ЭКГ</t>
        </is>
      </c>
      <c r="D16" s="2" t="inlineStr">
        <is>
          <t>Электропривод, ДВС нет</t>
        </is>
      </c>
      <c r="E16" s="2" t="inlineStr">
        <is>
          <t>Особый случай</t>
        </is>
      </c>
      <c r="F16" s="2" t="inlineStr">
        <is>
          <t>Наработка привода (сигнал контроллера)</t>
        </is>
      </c>
      <c r="G16" s="2" t="inlineStr">
        <is>
          <t>—</t>
        </is>
      </c>
      <c r="H16" s="2" t="inlineStr">
        <is>
          <t>Отдельная методика; смазка редукторов по наработке привода</t>
        </is>
      </c>
      <c r="I16" s="2" t="inlineStr">
        <is>
          <t>высокая (класс)</t>
        </is>
      </c>
      <c r="J16" s="2" t="inlineStr">
        <is>
          <t>—</t>
        </is>
      </c>
    </row>
    <row r="17">
      <c r="A17" s="2" t="inlineStr">
        <is>
          <t>Карьер</t>
        </is>
      </c>
      <c r="B17" s="2" t="inlineStr">
        <is>
          <t>Бульдозер</t>
        </is>
      </c>
      <c r="C17" s="2" t="inlineStr">
        <is>
          <t>ЧЕТРА Т-11/Т-25/Т-35, ДСТ-Урал, Shantui SD22/SD32</t>
        </is>
      </c>
      <c r="D17" s="2" t="inlineStr">
        <is>
          <t>ЯМЗ-236 (механика) или Cummins QSB/QSK (электроника)</t>
        </is>
      </c>
      <c r="E17" s="2" t="inlineStr">
        <is>
          <t>E или A</t>
        </is>
      </c>
      <c r="F17" s="2" t="inlineStr">
        <is>
          <t>D+ или CAN</t>
        </is>
      </c>
      <c r="G17" s="2" t="inlineStr">
        <is>
          <t>Не применим</t>
        </is>
      </c>
      <c r="H17" s="2" t="inlineStr">
        <is>
          <t>Проверка исполнения</t>
        </is>
      </c>
      <c r="I17" s="2" t="inlineStr">
        <is>
          <t>средняя</t>
        </is>
      </c>
      <c r="J17" s="2" t="inlineStr">
        <is>
          <t>S20</t>
        </is>
      </c>
    </row>
    <row r="18">
      <c r="A18" s="2" t="inlineStr">
        <is>
          <t>Карьер</t>
        </is>
      </c>
      <c r="B18" s="2" t="inlineStr">
        <is>
          <t>Буровой станок</t>
        </is>
      </c>
      <c r="C18" s="2" t="inlineStr">
        <is>
          <t>СБШ-250 (электрический), парк Sandvik/Epiroc, китайские</t>
        </is>
      </c>
      <c r="D18" s="2" t="inlineStr">
        <is>
          <t>Электро или дизель</t>
        </is>
      </c>
      <c r="E18" s="2" t="inlineStr">
        <is>
          <t>A, E или особый случай</t>
        </is>
      </c>
      <c r="F18" s="2" t="inlineStr">
        <is>
          <t>По исполнению</t>
        </is>
      </c>
      <c r="G18" s="2" t="inlineStr">
        <is>
          <t>—</t>
        </is>
      </c>
      <c r="H18" s="2" t="inlineStr">
        <is>
          <t>Проверка исполнения</t>
        </is>
      </c>
      <c r="I18" s="2" t="inlineStr">
        <is>
          <t>проверить</t>
        </is>
      </c>
      <c r="J18" s="2" t="inlineStr">
        <is>
          <t>—</t>
        </is>
      </c>
    </row>
    <row r="19">
      <c r="A19" s="2" t="inlineStr">
        <is>
          <t>Карьер/стройка</t>
        </is>
      </c>
      <c r="B19" s="2" t="inlineStr">
        <is>
          <t>Фронтальный погрузчик</t>
        </is>
      </c>
      <c r="C19" s="2" t="inlineStr">
        <is>
          <t>SDLG L968, LiuGong 856H/890H, XCMG LW500/LW800, SANY SW956</t>
        </is>
      </c>
      <c r="D19" s="2" t="inlineStr">
        <is>
          <t>Электронный у большинства новых</t>
        </is>
      </c>
      <c r="E19" s="2" t="inlineStr">
        <is>
          <t>A</t>
        </is>
      </c>
      <c r="F19" s="2" t="inlineStr">
        <is>
          <t>CAN</t>
        </is>
      </c>
      <c r="G19" s="2" t="inlineStr">
        <is>
          <t>GNSS/CAN</t>
        </is>
      </c>
      <c r="H19" s="2" t="inlineStr">
        <is>
          <t>Трекер с CAN</t>
        </is>
      </c>
      <c r="I19" s="2" t="inlineStr">
        <is>
          <t>средняя</t>
        </is>
      </c>
      <c r="J19" s="2" t="inlineStr">
        <is>
          <t>—</t>
        </is>
      </c>
    </row>
    <row r="20">
      <c r="A20" s="2" t="inlineStr">
        <is>
          <t>Стройка</t>
        </is>
      </c>
      <c r="B20" s="2" t="inlineStr">
        <is>
          <t>Экскаватор 20–30 т</t>
        </is>
      </c>
      <c r="C20" s="2" t="inlineStr">
        <is>
          <t>SANY SY215C, XCMG XE215, LiuGong 922F, Zoomlion, ТВЭКС ЕК-270</t>
        </is>
      </c>
      <c r="D20" s="2" t="inlineStr">
        <is>
          <t>Электронный у новых</t>
        </is>
      </c>
      <c r="E20" s="2" t="inlineStr">
        <is>
          <t>A; F</t>
        </is>
      </c>
      <c r="F20" s="2" t="inlineStr">
        <is>
          <t>CAN</t>
        </is>
      </c>
      <c r="G20" s="2" t="inlineStr">
        <is>
          <t>Не применим</t>
        </is>
      </c>
      <c r="H20" s="2" t="inlineStr">
        <is>
          <t>Трекер с CAN</t>
        </is>
      </c>
      <c r="I20" s="2" t="inlineStr">
        <is>
          <t>средняя</t>
        </is>
      </c>
      <c r="J20" s="2" t="inlineStr">
        <is>
          <t>—</t>
        </is>
      </c>
    </row>
    <row r="21">
      <c r="A21" s="2" t="inlineStr">
        <is>
          <t>Стройка</t>
        </is>
      </c>
      <c r="B21" s="2" t="inlineStr">
        <is>
          <t>Экскаватор-погрузчик</t>
        </is>
      </c>
      <c r="C21" s="2" t="inlineStr">
        <is>
          <t>ЭЛАЗ BL880, Hidromek, Mst, парк JCB/Terex</t>
        </is>
      </c>
      <c r="D21" s="2" t="inlineStr">
        <is>
          <t>Зависит от модели</t>
        </is>
      </c>
      <c r="E21" s="2" t="inlineStr">
        <is>
          <t>A или E</t>
        </is>
      </c>
      <c r="F21" s="2" t="inlineStr">
        <is>
          <t>CAN или D+</t>
        </is>
      </c>
      <c r="G21" s="2" t="inlineStr">
        <is>
          <t>GNSS</t>
        </is>
      </c>
      <c r="H21" s="2" t="inlineStr">
        <is>
          <t>Проверка экземпляра</t>
        </is>
      </c>
      <c r="I21" s="2" t="inlineStr">
        <is>
          <t>проверить</t>
        </is>
      </c>
      <c r="J21" s="2" t="inlineStr">
        <is>
          <t>—</t>
        </is>
      </c>
    </row>
    <row r="22">
      <c r="A22" s="2" t="inlineStr">
        <is>
          <t>Дорога</t>
        </is>
      </c>
      <c r="B22" s="2" t="inlineStr">
        <is>
          <t>Автогрейдер</t>
        </is>
      </c>
      <c r="C22" s="2" t="inlineStr">
        <is>
          <t>ДЗ-98 (Брянский арсенал), XCMG GR215, SANY</t>
        </is>
      </c>
      <c r="D22" s="2" t="inlineStr">
        <is>
          <t>Зависит от двигателя</t>
        </is>
      </c>
      <c r="E22" s="2" t="inlineStr">
        <is>
          <t>A или E</t>
        </is>
      </c>
      <c r="F22" s="2" t="inlineStr">
        <is>
          <t>CAN или D+</t>
        </is>
      </c>
      <c r="G22" s="2" t="inlineStr">
        <is>
          <t>GNSS</t>
        </is>
      </c>
      <c r="H22" s="2" t="inlineStr">
        <is>
          <t>Проверка экземпляра</t>
        </is>
      </c>
      <c r="I22" s="2" t="inlineStr">
        <is>
          <t>проверить</t>
        </is>
      </c>
      <c r="J22" s="2" t="inlineStr">
        <is>
          <t>—</t>
        </is>
      </c>
    </row>
    <row r="23">
      <c r="A23" s="2" t="inlineStr">
        <is>
          <t>Дорога</t>
        </is>
      </c>
      <c r="B23" s="2" t="inlineStr">
        <is>
          <t>Каток дорожный</t>
        </is>
      </c>
      <c r="C23" s="2" t="inlineStr">
        <is>
          <t>Раскат, XCMG, SANY, парк Bomag</t>
        </is>
      </c>
      <c r="D23" s="2" t="inlineStr">
        <is>
          <t>Зависит от модели</t>
        </is>
      </c>
      <c r="E23" s="2" t="inlineStr">
        <is>
          <t>A или E</t>
        </is>
      </c>
      <c r="F23" s="2" t="inlineStr">
        <is>
          <t>CAN или D+</t>
        </is>
      </c>
      <c r="G23" s="2" t="inlineStr">
        <is>
          <t>GNSS</t>
        </is>
      </c>
      <c r="H23" s="2" t="inlineStr">
        <is>
          <t>Проверка экземпляра</t>
        </is>
      </c>
      <c r="I23" s="2" t="inlineStr">
        <is>
          <t>проверить</t>
        </is>
      </c>
      <c r="J23" s="2" t="inlineStr">
        <is>
          <t>—</t>
        </is>
      </c>
    </row>
    <row r="24">
      <c r="A24" s="2" t="inlineStr">
        <is>
          <t>Стройка</t>
        </is>
      </c>
      <c r="B24" s="2" t="inlineStr">
        <is>
          <t>Автокран на шасси</t>
        </is>
      </c>
      <c r="C24" s="2" t="inlineStr">
        <is>
          <t>Галичанин, Ивановец, Клинцы на КАМАЗ/МАЗ; XCMG</t>
        </is>
      </c>
      <c r="D24" s="2" t="inlineStr">
        <is>
          <t>Шасси Евро-4/5 — J1939</t>
        </is>
      </c>
      <c r="E24" s="2" t="inlineStr">
        <is>
          <t>A (шасси)</t>
        </is>
      </c>
      <c r="F24" s="2" t="inlineStr">
        <is>
          <t>CAN шасси (+ наработка крановой установки)</t>
        </is>
      </c>
      <c r="G24" s="2" t="inlineStr">
        <is>
          <t>CAN шасси</t>
        </is>
      </c>
      <c r="H24" s="2" t="inlineStr">
        <is>
          <t>Трекер на шасси; наработку КМУ — отдельным входом</t>
        </is>
      </c>
      <c r="I24" s="2" t="inlineStr">
        <is>
          <t>средняя</t>
        </is>
      </c>
      <c r="J24" s="2" t="inlineStr">
        <is>
          <t>—</t>
        </is>
      </c>
    </row>
    <row r="25">
      <c r="A25" s="2" t="inlineStr">
        <is>
          <t>Дорога/карьер</t>
        </is>
      </c>
      <c r="B25" s="2" t="inlineStr">
        <is>
          <t>Самосвал дорожный</t>
        </is>
      </c>
      <c r="C25" s="2" t="inlineStr">
        <is>
          <t>КАМАЗ-65115/6520, МАЗ-6501, Shacman, Howo, Sitrak</t>
        </is>
      </c>
      <c r="D25" s="2" t="inlineStr">
        <is>
          <t>Евро-4/5 — J1939/FMS</t>
        </is>
      </c>
      <c r="E25" s="2" t="inlineStr">
        <is>
          <t>A (FMS) или E</t>
        </is>
      </c>
      <c r="F25" s="2" t="inlineStr">
        <is>
          <t>CAN</t>
        </is>
      </c>
      <c r="G25" s="2" t="inlineStr">
        <is>
          <t>CAN-одометр</t>
        </is>
      </c>
      <c r="H25" s="2" t="inlineStr">
        <is>
          <t>Трекер с CAN</t>
        </is>
      </c>
      <c r="I25" s="2" t="inlineStr">
        <is>
          <t>средняя</t>
        </is>
      </c>
      <c r="J25" s="2" t="inlineStr">
        <is>
          <t>S17</t>
        </is>
      </c>
    </row>
    <row r="26">
      <c r="A26" s="2" t="inlineStr">
        <is>
          <t>Прочее</t>
        </is>
      </c>
      <c r="B26" s="2" t="inlineStr">
        <is>
          <t>Стационарные ДВС (генераторы, насосы)</t>
        </is>
      </c>
      <c r="C26" s="2" t="inlineStr">
        <is>
          <t>ДЭС на контроллерах DEIF/ComAp</t>
        </is>
      </c>
      <c r="D26" s="2" t="inlineStr">
        <is>
          <t>J1939 от контроллера</t>
        </is>
      </c>
      <c r="E26" s="2" t="inlineStr">
        <is>
          <t>A</t>
        </is>
      </c>
      <c r="F26" s="2" t="inlineStr">
        <is>
          <t>CAN</t>
        </is>
      </c>
      <c r="G26" s="2" t="inlineStr">
        <is>
          <t>—</t>
        </is>
      </c>
      <c r="H26" s="2" t="inlineStr">
        <is>
          <t>Трекер с CAN или Modbus от контроллера</t>
        </is>
      </c>
      <c r="I26" s="2" t="inlineStr">
        <is>
          <t>средняя</t>
        </is>
      </c>
      <c r="J26" s="2" t="inlineStr">
        <is>
          <t>—</t>
        </is>
      </c>
    </row>
    <row r="27">
      <c r="A27" s="2" t="inlineStr">
        <is>
          <t>Любая</t>
        </is>
      </c>
      <c r="B27" s="2" t="inlineStr">
        <is>
          <t>Машина с чужим трекером</t>
        </is>
      </c>
      <c r="C27" s="2" t="inlineStr">
        <is>
          <t>Парк на Wialon, Omnicomm, СКАУТ, АвтоГРАФ</t>
        </is>
      </c>
      <c r="D27" s="2" t="inlineStr">
        <is>
          <t>Любой</t>
        </is>
      </c>
      <c r="E27" s="2" t="inlineStr">
        <is>
          <t>H (ретрансляция)</t>
        </is>
      </c>
      <c r="F27" s="2" t="inlineStr">
        <is>
          <t>Параметр трекера</t>
        </is>
      </c>
      <c r="G27" s="2" t="inlineStr">
        <is>
          <t>Параметр трекера</t>
        </is>
      </c>
      <c r="H27" s="2" t="inlineStr">
        <is>
          <t>Ретрансляция EGTS/Wialon IPS на наш шлюз без монтажа</t>
        </is>
      </c>
      <c r="I27" s="2" t="inlineStr">
        <is>
          <t>высокая (механизм)</t>
        </is>
      </c>
      <c r="J27" s="2" t="inlineStr">
        <is>
          <t>S2, S8</t>
        </is>
      </c>
    </row>
    <row r="28">
      <c r="A28" s="2" t="inlineStr">
        <is>
          <t>Любая</t>
        </is>
      </c>
      <c r="B28" s="2" t="inlineStr">
        <is>
          <t>Машина без трекера (временно)</t>
        </is>
      </c>
      <c r="C28" s="2" t="inlineStr">
        <is>
          <t>Любая</t>
        </is>
      </c>
      <c r="D28" s="2" t="inlineStr">
        <is>
          <t>Любой</t>
        </is>
      </c>
      <c r="E28" s="2" t="inlineStr">
        <is>
          <t>I (ручной ввод)</t>
        </is>
      </c>
      <c r="F28" s="2" t="inlineStr">
        <is>
          <t>Фото счётчика + ввод механиком</t>
        </is>
      </c>
      <c r="G28" s="2" t="inlineStr">
        <is>
          <t>Фото одометра</t>
        </is>
      </c>
      <c r="H28" s="2" t="inlineStr">
        <is>
          <t>Мобильное приложение, QR на машине</t>
        </is>
      </c>
      <c r="I28" s="2" t="inlineStr">
        <is>
          <t>высокая (механизм)</t>
        </is>
      </c>
      <c r="J28" s="2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30" customWidth="1" min="4" max="4"/>
    <col width="24" customWidth="1" min="5" max="5"/>
    <col width="14" customWidth="1" min="6" max="6"/>
    <col width="30" customWidth="1" min="7" max="7"/>
    <col width="40" customWidth="1" min="8" max="8"/>
    <col width="36" customWidth="1" min="9" max="9"/>
  </cols>
  <sheetData>
    <row r="1">
      <c r="A1" s="4" t="inlineStr">
        <is>
          <t>Код</t>
        </is>
      </c>
      <c r="B1" s="4" t="inlineStr">
        <is>
          <t>Класс</t>
        </is>
      </c>
      <c r="C1" s="4" t="inlineStr">
        <is>
          <t>Как берём данные</t>
        </is>
      </c>
      <c r="D1" s="4" t="inlineStr">
        <is>
          <t>Моточасы</t>
        </is>
      </c>
      <c r="E1" s="4" t="inlineStr">
        <is>
          <t>Пробег</t>
        </is>
      </c>
      <c r="F1" s="4" t="inlineStr">
        <is>
          <t>Местоположение</t>
        </is>
      </c>
      <c r="G1" s="4" t="inlineStr">
        <is>
          <t>Оборудование</t>
        </is>
      </c>
      <c r="H1" s="4" t="inlineStr">
        <is>
          <t>Риски</t>
        </is>
      </c>
      <c r="I1" s="4" t="inlineStr">
        <is>
          <t>Что проверено на стенде</t>
        </is>
      </c>
    </row>
    <row r="2">
      <c r="A2" s="2" t="inlineStr">
        <is>
          <t>A</t>
        </is>
      </c>
      <c r="B2" s="2" t="inlineStr">
        <is>
          <t>J1939, двигатель транслирует HOURS</t>
        </is>
      </c>
      <c r="C2" s="2" t="inlineStr">
        <is>
          <t>Бесконтактный считыватель на CAN (без передачи в шину) или прямое подключение к диагностическому разъёму</t>
        </is>
      </c>
      <c r="D2" s="2" t="inlineStr">
        <is>
          <t>SPN 247, 0,05 ч, совпадает с приборной панелью</t>
        </is>
      </c>
      <c r="E2" s="2" t="inlineStr">
        <is>
          <t>SPN 245/917 при наличии, иначе GNSS</t>
        </is>
      </c>
      <c r="F2" s="2" t="inlineStr">
        <is>
          <t>Трекер GNSS</t>
        </is>
      </c>
      <c r="G2" s="2" t="inlineStr">
        <is>
          <t>Трекер с CAN (Galileosky 10 Plus, Навтелеком SIGNAL) ± CAN-LOG</t>
        </is>
      </c>
      <c r="H2" s="2" t="inlineStr">
        <is>
          <t>Проприетарные ID; отключение шины при монтаже недопустимо</t>
        </is>
      </c>
      <c r="I2" s="2" t="inlineStr">
        <is>
          <t>Смоделировано: кодек J1939 + E2E через Traccar</t>
        </is>
      </c>
    </row>
    <row r="3">
      <c r="A3" s="2" t="inlineStr">
        <is>
          <t>B</t>
        </is>
      </c>
      <c r="B3" s="2" t="inlineStr">
        <is>
          <t>J1939, HOURS только по запросу</t>
        </is>
      </c>
      <c r="C3" s="2" t="inlineStr">
        <is>
          <t>Трекер отправляет Request PGN 59904 → ЭБУ отвечает PGN 65253</t>
        </is>
      </c>
      <c r="D3" s="2" t="inlineStr">
        <is>
          <t>SPN 247</t>
        </is>
      </c>
      <c r="E3" s="2" t="inlineStr">
        <is>
          <t>Как A</t>
        </is>
      </c>
      <c r="F3" s="2" t="inlineStr">
        <is>
          <t>Трекер</t>
        </is>
      </c>
      <c r="G3" s="2" t="inlineStr">
        <is>
          <t>Трекер с поддержкой активных запросов</t>
        </is>
      </c>
      <c r="H3" s="2" t="inlineStr">
        <is>
          <t>Трекер становится активным участником шины: согласовать с владельцем, проверить адрес</t>
        </is>
      </c>
      <c r="I3" s="2" t="inlineStr">
        <is>
          <t>Смоделировано: без запроса 0 % записей с моточасами, с запросом — есть</t>
        </is>
      </c>
    </row>
    <row r="4">
      <c r="A4" s="2" t="inlineStr">
        <is>
          <t>C</t>
        </is>
      </c>
      <c r="B4" s="2" t="inlineStr">
        <is>
          <t>ISOBUS (ISO 11783)</t>
        </is>
      </c>
      <c r="C4" s="2" t="inlineStr">
        <is>
          <t>Шина трактора/орудия; моточасы трактора — те же PGN J1939</t>
        </is>
      </c>
      <c r="D4" s="2" t="inlineStr">
        <is>
          <t>DDI 492/ SPN 247 трактора</t>
        </is>
      </c>
      <c r="E4" s="2" t="inlineStr">
        <is>
          <t>—</t>
        </is>
      </c>
      <c r="F4" s="2" t="inlineStr">
        <is>
          <t>Трекер</t>
        </is>
      </c>
      <c r="G4" s="2" t="inlineStr">
        <is>
          <t>Трекер с CAN</t>
        </is>
      </c>
      <c r="H4" s="2" t="inlineStr">
        <is>
          <t>Орудия без ДВС моточасов не имеют</t>
        </is>
      </c>
      <c r="I4" s="2" t="inlineStr">
        <is>
          <t>Не моделировалось отдельно</t>
        </is>
      </c>
    </row>
    <row r="5">
      <c r="A5" s="2" t="inlineStr">
        <is>
          <t>D</t>
        </is>
      </c>
      <c r="B5" s="2" t="inlineStr">
        <is>
          <t>Проприетарный CAN (не J1939)</t>
        </is>
      </c>
      <c r="C5" s="2" t="inlineStr">
        <is>
          <t>Считыватель с базой программ под модель (CAN-LOG B44)</t>
        </is>
      </c>
      <c r="D5" s="2" t="inlineStr">
        <is>
          <t>Параметр считывателя</t>
        </is>
      </c>
      <c r="E5" s="2" t="inlineStr">
        <is>
          <t>Параметр считывателя</t>
        </is>
      </c>
      <c r="F5" s="2" t="inlineStr">
        <is>
          <t>Трекер</t>
        </is>
      </c>
      <c r="G5" s="2" t="inlineStr">
        <is>
          <t>CAN-LOG B44 + трекер</t>
        </is>
      </c>
      <c r="H5" s="2" t="inlineStr">
        <is>
          <t>Поддержка конкретной модели — только по списку производителя</t>
        </is>
      </c>
      <c r="I5" s="2" t="inlineStr">
        <is>
          <t>Не моделировалось (нужна спецификация)</t>
        </is>
      </c>
    </row>
    <row r="6">
      <c r="A6" s="2" t="inlineStr">
        <is>
          <t>E</t>
        </is>
      </c>
      <c r="B6" s="2" t="inlineStr">
        <is>
          <t>CAN нет (механический двигатель)</t>
        </is>
      </c>
      <c r="C6" s="2" t="inlineStr">
        <is>
          <t>Дискретный вход D+/W генератора, порог напряжения бортсети, вибрация</t>
        </is>
      </c>
      <c r="D6" s="2" t="inlineStr">
        <is>
          <t>Счётчик трекера + стартовое показание приборного счётчика</t>
        </is>
      </c>
      <c r="E6" s="2" t="inlineStr">
        <is>
          <t>GNSS</t>
        </is>
      </c>
      <c r="F6" s="2" t="inlineStr">
        <is>
          <t>Трекер</t>
        </is>
      </c>
      <c r="G6" s="2" t="inlineStr">
        <is>
          <t>Любой трекер с входами</t>
        </is>
      </c>
      <c r="H6" s="2" t="inlineStr">
        <is>
          <t>Ошибки монтажника (порог 12/24 В), дрейф; нужна периодическая сверка</t>
        </is>
      </c>
      <c r="I6" s="2" t="inlineStr">
        <is>
          <t>Смоделировано: зажигание +4,7…+5,7 %, D+/порог −0,02…−0,06 %</t>
        </is>
      </c>
    </row>
    <row r="7">
      <c r="A7" s="2" t="inlineStr">
        <is>
          <t>F</t>
        </is>
      </c>
      <c r="B7" s="2" t="inlineStr">
        <is>
          <t>Облако производителя</t>
        </is>
      </c>
      <c r="C7" s="2" t="inlineStr">
        <is>
          <t>API OEM: РСМ Агротроник, ИТИС-КАМАЗ, Кировец-Агромонитор, облака SANY/XCMG, ISO 15143-3</t>
        </is>
      </c>
      <c r="D7" s="2" t="inlineStr">
        <is>
          <t>Из API</t>
        </is>
      </c>
      <c r="E7" s="2" t="inlineStr">
        <is>
          <t>Из API</t>
        </is>
      </c>
      <c r="F7" s="2" t="inlineStr">
        <is>
          <t>Из API</t>
        </is>
      </c>
      <c r="G7" s="2" t="inlineStr">
        <is>
          <t>Договор с OEM</t>
        </is>
      </c>
      <c r="H7" s="2" t="inlineStr">
        <is>
          <t>Доступ по договору; доступность западных облаков в РФ не гарантирована</t>
        </is>
      </c>
      <c r="I7" s="2" t="inlineStr">
        <is>
          <t>Не моделировалось</t>
        </is>
      </c>
    </row>
    <row r="8">
      <c r="A8" s="2" t="inlineStr">
        <is>
          <t>G</t>
        </is>
      </c>
      <c r="B8" s="2" t="inlineStr">
        <is>
          <t>Файлы StanForD 2010 (лес)</t>
        </is>
      </c>
      <c r="C8" s="2" t="inlineStr">
        <is>
          <t>Выгрузка файлов бортового компьютера харвестера/форвардера</t>
        </is>
      </c>
      <c r="D8" s="2" t="inlineStr">
        <is>
          <t>Файлы операционного мониторинга (проверить состав)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Процедура выгрузки + импорт</t>
        </is>
      </c>
      <c r="H8" s="2" t="inlineStr">
        <is>
          <t>Нерегулярность, зависимость от оператора</t>
        </is>
      </c>
      <c r="I8" s="2" t="inlineStr">
        <is>
          <t>Не моделировалось</t>
        </is>
      </c>
    </row>
    <row r="9">
      <c r="A9" s="2" t="inlineStr">
        <is>
          <t>H</t>
        </is>
      </c>
      <c r="B9" s="2" t="inlineStr">
        <is>
          <t>Ретрансляция с чужой платформы</t>
        </is>
      </c>
      <c r="C9" s="2" t="inlineStr">
        <is>
          <t>EGTS / Wialon Retranslator / Wialon IPS на наш шлюз</t>
        </is>
      </c>
      <c r="D9" s="2" t="inlineStr">
        <is>
          <t>Параметр трекера (имена/масштаб — по профилю)</t>
        </is>
      </c>
      <c r="E9" s="2" t="inlineStr">
        <is>
          <t>Параметр трекера</t>
        </is>
      </c>
      <c r="F9" s="2" t="inlineStr">
        <is>
          <t>Да</t>
        </is>
      </c>
      <c r="G9" s="2" t="inlineStr">
        <is>
          <t>Настройка ретранслятора у клиента</t>
        </is>
      </c>
      <c r="H9" s="2" t="inlineStr">
        <is>
          <t>EGTS в Traccar 6.15 теряет счётчики (моточасы) — нужна доработка</t>
        </is>
      </c>
      <c r="I9" s="2" t="inlineStr">
        <is>
          <t>Смоделировано: пробел EGTS подтверждён</t>
        </is>
      </c>
    </row>
    <row r="10">
      <c r="A10" s="2" t="inlineStr">
        <is>
          <t>I</t>
        </is>
      </c>
      <c r="B10" s="2" t="inlineStr">
        <is>
          <t>Ручной ввод</t>
        </is>
      </c>
      <c r="C10" s="2" t="inlineStr">
        <is>
          <t>Механик фотографирует счётчик в приложении, QR на машине</t>
        </is>
      </c>
      <c r="D10" s="2" t="inlineStr">
        <is>
          <t>Показание счётчика</t>
        </is>
      </c>
      <c r="E10" s="2" t="inlineStr">
        <is>
          <t>Показание одометра</t>
        </is>
      </c>
      <c r="F10" s="2" t="inlineStr">
        <is>
          <t>GPS телефона в момент ввода</t>
        </is>
      </c>
      <c r="G10" s="2" t="inlineStr">
        <is>
          <t>Мобильное приложение</t>
        </is>
      </c>
      <c r="H10" s="2" t="inlineStr">
        <is>
          <t>Редкие данные, человеческий фактор</t>
        </is>
      </c>
      <c r="I10" s="2" t="inlineStr">
        <is>
          <t>Не моделировалось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40" customWidth="1" min="5" max="5"/>
    <col width="8" customWidth="1" min="6" max="6"/>
    <col width="11" customWidth="1" min="7" max="7"/>
    <col width="9" customWidth="1" min="8" max="8"/>
    <col width="7" customWidth="1" min="9" max="9"/>
    <col width="24" customWidth="1" min="10" max="10"/>
    <col width="48" customWidth="1" min="11" max="11"/>
  </cols>
  <sheetData>
    <row r="1" ht="45" customHeight="1">
      <c r="A1" s="3" t="inlineStr">
        <is>
          <t>Значения 0xFE… = ошибка, 0xFF… = нет данных: в платформе это null, а не число. Байты — little-endian.</t>
        </is>
      </c>
    </row>
    <row r="2">
      <c r="A2" s="4" t="inlineStr">
        <is>
          <t>PGN</t>
        </is>
      </c>
      <c r="B2" s="4" t="inlineStr">
        <is>
          <t>PGN hex</t>
        </is>
      </c>
      <c r="C2" s="4" t="inlineStr">
        <is>
          <t>Сообщение</t>
        </is>
      </c>
      <c r="D2" s="4" t="inlineStr">
        <is>
          <t>SPN</t>
        </is>
      </c>
      <c r="E2" s="4" t="inlineStr">
        <is>
          <t>Параметр</t>
        </is>
      </c>
      <c r="F2" s="4" t="inlineStr">
        <is>
          <t>Байты</t>
        </is>
      </c>
      <c r="G2" s="4" t="inlineStr">
        <is>
          <t>Разрешение</t>
        </is>
      </c>
      <c r="H2" s="4" t="inlineStr">
        <is>
          <t>Смещение</t>
        </is>
      </c>
      <c r="I2" s="4" t="inlineStr">
        <is>
          <t>Ед.</t>
        </is>
      </c>
      <c r="J2" s="4" t="inlineStr">
        <is>
          <t>Период</t>
        </is>
      </c>
      <c r="K2" s="4" t="inlineStr">
        <is>
          <t>Статус</t>
        </is>
      </c>
    </row>
    <row r="3">
      <c r="A3" s="2" t="n">
        <v>61444</v>
      </c>
      <c r="B3" s="2" t="inlineStr">
        <is>
          <t>0xF004</t>
        </is>
      </c>
      <c r="C3" s="2" t="inlineStr">
        <is>
          <t>EEC1</t>
        </is>
      </c>
      <c r="D3" s="2" t="n">
        <v>190</v>
      </c>
      <c r="E3" s="2" t="inlineStr">
        <is>
          <t>Engine Speed</t>
        </is>
      </c>
      <c r="F3" s="2" t="inlineStr">
        <is>
          <t>4–5</t>
        </is>
      </c>
      <c r="G3" s="2" t="n">
        <v>0.125</v>
      </c>
      <c r="H3" s="2" t="n">
        <v>0</v>
      </c>
      <c r="I3" s="2" t="inlineStr">
        <is>
          <t>rpm</t>
        </is>
      </c>
      <c r="J3" s="2" t="inlineStr">
        <is>
          <t>engine-speed dependent (10-100 ms)</t>
        </is>
      </c>
      <c r="K3" s="2" t="inlineStr">
        <is>
          <t>подтверждено: пример CSS Electronics (S3) в тестах</t>
        </is>
      </c>
    </row>
    <row r="4">
      <c r="A4" s="2" t="n">
        <v>65265</v>
      </c>
      <c r="B4" s="2" t="inlineStr">
        <is>
          <t>0xFEF1</t>
        </is>
      </c>
      <c r="C4" s="2" t="inlineStr">
        <is>
          <t>CCVS</t>
        </is>
      </c>
      <c r="D4" s="2" t="n">
        <v>84</v>
      </c>
      <c r="E4" s="2" t="inlineStr">
        <is>
          <t>Wheel-Based Vehicle Speed</t>
        </is>
      </c>
      <c r="F4" s="2" t="inlineStr">
        <is>
          <t>2–3</t>
        </is>
      </c>
      <c r="G4" s="2" t="n">
        <v>0.00390625</v>
      </c>
      <c r="H4" s="2" t="n">
        <v>0</v>
      </c>
      <c r="I4" s="2" t="inlineStr">
        <is>
          <t>km/h</t>
        </is>
      </c>
      <c r="J4" s="2" t="inlineStr">
        <is>
          <t>100 ms</t>
        </is>
      </c>
      <c r="K4" s="2" t="inlineStr">
        <is>
          <t>по публичным таблицам J1939-71 (S4); стенд: кодирование ↔ декодирование</t>
        </is>
      </c>
    </row>
    <row r="5">
      <c r="A5" s="2" t="n">
        <v>65253</v>
      </c>
      <c r="B5" s="2" t="inlineStr">
        <is>
          <t>0xFEE5</t>
        </is>
      </c>
      <c r="C5" s="2" t="inlineStr">
        <is>
          <t>HOURS</t>
        </is>
      </c>
      <c r="D5" s="2" t="n">
        <v>247</v>
      </c>
      <c r="E5" s="2" t="inlineStr">
        <is>
          <t>Engine Total Hours of Operation</t>
        </is>
      </c>
      <c r="F5" s="2" t="inlineStr">
        <is>
          <t>1–4</t>
        </is>
      </c>
      <c r="G5" s="2" t="n">
        <v>0.05</v>
      </c>
      <c r="H5" s="2" t="n">
        <v>0</v>
      </c>
      <c r="I5" s="2" t="inlineStr">
        <is>
          <t>h</t>
        </is>
      </c>
      <c r="J5" s="2" t="inlineStr">
        <is>
          <t>on request</t>
        </is>
      </c>
      <c r="K5" s="2" t="inlineStr">
        <is>
          <t>подтверждено: ISOBUS DDI (S5), FMS (S4)</t>
        </is>
      </c>
    </row>
    <row r="6">
      <c r="A6" s="2" t="n">
        <v>65253</v>
      </c>
      <c r="B6" s="2" t="inlineStr">
        <is>
          <t>0xFEE5</t>
        </is>
      </c>
      <c r="C6" s="2" t="inlineStr">
        <is>
          <t>HOURS</t>
        </is>
      </c>
      <c r="D6" s="2" t="n">
        <v>249</v>
      </c>
      <c r="E6" s="2" t="inlineStr">
        <is>
          <t>Engine Total Revolutions</t>
        </is>
      </c>
      <c r="F6" s="2" t="inlineStr">
        <is>
          <t>5–8</t>
        </is>
      </c>
      <c r="G6" s="2" t="n">
        <v>1000</v>
      </c>
      <c r="H6" s="2" t="n">
        <v>0</v>
      </c>
      <c r="I6" s="2" t="inlineStr">
        <is>
          <t>r</t>
        </is>
      </c>
      <c r="J6" s="2" t="inlineStr">
        <is>
          <t>on request</t>
        </is>
      </c>
      <c r="K6" s="2" t="inlineStr">
        <is>
          <t>по публичным таблицам J1939-71 (S4); стенд: кодирование ↔ декодирование</t>
        </is>
      </c>
    </row>
    <row r="7">
      <c r="A7" s="2" t="n">
        <v>65248</v>
      </c>
      <c r="B7" s="2" t="inlineStr">
        <is>
          <t>0xFEE0</t>
        </is>
      </c>
      <c r="C7" s="2" t="inlineStr">
        <is>
          <t>VD</t>
        </is>
      </c>
      <c r="D7" s="2" t="n">
        <v>244</v>
      </c>
      <c r="E7" s="2" t="inlineStr">
        <is>
          <t>Trip Distance</t>
        </is>
      </c>
      <c r="F7" s="2" t="inlineStr">
        <is>
          <t>1–4</t>
        </is>
      </c>
      <c r="G7" s="2" t="n">
        <v>0.125</v>
      </c>
      <c r="H7" s="2" t="n">
        <v>0</v>
      </c>
      <c r="I7" s="2" t="inlineStr">
        <is>
          <t>km</t>
        </is>
      </c>
      <c r="J7" s="2" t="inlineStr">
        <is>
          <t>100 ms</t>
        </is>
      </c>
      <c r="K7" s="2" t="inlineStr">
        <is>
          <t>по публичным таблицам J1939-71 (S4); стенд: кодирование ↔ декодирование</t>
        </is>
      </c>
    </row>
    <row r="8">
      <c r="A8" s="2" t="n">
        <v>65248</v>
      </c>
      <c r="B8" s="2" t="inlineStr">
        <is>
          <t>0xFEE0</t>
        </is>
      </c>
      <c r="C8" s="2" t="inlineStr">
        <is>
          <t>VD</t>
        </is>
      </c>
      <c r="D8" s="2" t="n">
        <v>245</v>
      </c>
      <c r="E8" s="2" t="inlineStr">
        <is>
          <t>Total Vehicle Distance</t>
        </is>
      </c>
      <c r="F8" s="2" t="inlineStr">
        <is>
          <t>5–8</t>
        </is>
      </c>
      <c r="G8" s="2" t="n">
        <v>0.125</v>
      </c>
      <c r="H8" s="2" t="n">
        <v>0</v>
      </c>
      <c r="I8" s="2" t="inlineStr">
        <is>
          <t>km</t>
        </is>
      </c>
      <c r="J8" s="2" t="inlineStr">
        <is>
          <t>100 ms</t>
        </is>
      </c>
      <c r="K8" s="2" t="inlineStr">
        <is>
          <t>по публичным таблицам J1939-71 (S4); стенд: кодирование ↔ декодирование</t>
        </is>
      </c>
    </row>
    <row r="9">
      <c r="A9" s="2" t="n">
        <v>65217</v>
      </c>
      <c r="B9" s="2" t="inlineStr">
        <is>
          <t>0xFEC1</t>
        </is>
      </c>
      <c r="C9" s="2" t="inlineStr">
        <is>
          <t>VDHR</t>
        </is>
      </c>
      <c r="D9" s="2" t="n">
        <v>917</v>
      </c>
      <c r="E9" s="2" t="inlineStr">
        <is>
          <t>High Resolution Total Vehicle Distance</t>
        </is>
      </c>
      <c r="F9" s="2" t="inlineStr">
        <is>
          <t>1–4</t>
        </is>
      </c>
      <c r="G9" s="2" t="n">
        <v>5</v>
      </c>
      <c r="H9" s="2" t="n">
        <v>0</v>
      </c>
      <c r="I9" s="2" t="inlineStr">
        <is>
          <t>m</t>
        </is>
      </c>
      <c r="J9" s="2" t="inlineStr">
        <is>
          <t>1 s</t>
        </is>
      </c>
      <c r="K9" s="2" t="inlineStr">
        <is>
          <t>по публичным таблицам J1939-71 (S4); стенд: кодирование ↔ декодирование</t>
        </is>
      </c>
    </row>
    <row r="10">
      <c r="A10" s="2" t="n">
        <v>65217</v>
      </c>
      <c r="B10" s="2" t="inlineStr">
        <is>
          <t>0xFEC1</t>
        </is>
      </c>
      <c r="C10" s="2" t="inlineStr">
        <is>
          <t>VDHR</t>
        </is>
      </c>
      <c r="D10" s="2" t="n">
        <v>918</v>
      </c>
      <c r="E10" s="2" t="inlineStr">
        <is>
          <t>High Resolution Trip Distance</t>
        </is>
      </c>
      <c r="F10" s="2" t="inlineStr">
        <is>
          <t>5–8</t>
        </is>
      </c>
      <c r="G10" s="2" t="n">
        <v>5</v>
      </c>
      <c r="H10" s="2" t="n">
        <v>0</v>
      </c>
      <c r="I10" s="2" t="inlineStr">
        <is>
          <t>m</t>
        </is>
      </c>
      <c r="J10" s="2" t="inlineStr">
        <is>
          <t>1 s</t>
        </is>
      </c>
      <c r="K10" s="2" t="inlineStr">
        <is>
          <t>по публичным таблицам J1939-71 (S4); стенд: кодирование ↔ декодирование</t>
        </is>
      </c>
    </row>
    <row r="11">
      <c r="A11" s="2" t="n">
        <v>65257</v>
      </c>
      <c r="B11" s="2" t="inlineStr">
        <is>
          <t>0xFEE9</t>
        </is>
      </c>
      <c r="C11" s="2" t="inlineStr">
        <is>
          <t>LFC</t>
        </is>
      </c>
      <c r="D11" s="2" t="n">
        <v>182</v>
      </c>
      <c r="E11" s="2" t="inlineStr">
        <is>
          <t>Engine Trip Fuel</t>
        </is>
      </c>
      <c r="F11" s="2" t="inlineStr">
        <is>
          <t>1–4</t>
        </is>
      </c>
      <c r="G11" s="2" t="n">
        <v>0.5</v>
      </c>
      <c r="H11" s="2" t="n">
        <v>0</v>
      </c>
      <c r="I11" s="2" t="inlineStr">
        <is>
          <t>L</t>
        </is>
      </c>
      <c r="J11" s="2" t="inlineStr">
        <is>
          <t>on request</t>
        </is>
      </c>
      <c r="K11" s="2" t="inlineStr">
        <is>
          <t>по публичным таблицам J1939-71 (S4); стенд: кодирование ↔ декодирование</t>
        </is>
      </c>
    </row>
    <row r="12">
      <c r="A12" s="2" t="n">
        <v>65257</v>
      </c>
      <c r="B12" s="2" t="inlineStr">
        <is>
          <t>0xFEE9</t>
        </is>
      </c>
      <c r="C12" s="2" t="inlineStr">
        <is>
          <t>LFC</t>
        </is>
      </c>
      <c r="D12" s="2" t="n">
        <v>250</v>
      </c>
      <c r="E12" s="2" t="inlineStr">
        <is>
          <t>Engine Total Fuel Used</t>
        </is>
      </c>
      <c r="F12" s="2" t="inlineStr">
        <is>
          <t>5–8</t>
        </is>
      </c>
      <c r="G12" s="2" t="n">
        <v>0.5</v>
      </c>
      <c r="H12" s="2" t="n">
        <v>0</v>
      </c>
      <c r="I12" s="2" t="inlineStr">
        <is>
          <t>L</t>
        </is>
      </c>
      <c r="J12" s="2" t="inlineStr">
        <is>
          <t>on request</t>
        </is>
      </c>
      <c r="K12" s="2" t="inlineStr">
        <is>
          <t>по публичным таблицам J1939-71 (S4); стенд: кодирование ↔ декодирование</t>
        </is>
      </c>
    </row>
    <row r="13">
      <c r="A13" s="2" t="n">
        <v>65266</v>
      </c>
      <c r="B13" s="2" t="inlineStr">
        <is>
          <t>0xFEF2</t>
        </is>
      </c>
      <c r="C13" s="2" t="inlineStr">
        <is>
          <t>LFE</t>
        </is>
      </c>
      <c r="D13" s="2" t="n">
        <v>183</v>
      </c>
      <c r="E13" s="2" t="inlineStr">
        <is>
          <t>Engine Fuel Rate</t>
        </is>
      </c>
      <c r="F13" s="2" t="inlineStr">
        <is>
          <t>1–2</t>
        </is>
      </c>
      <c r="G13" s="2" t="n">
        <v>0.05</v>
      </c>
      <c r="H13" s="2" t="n">
        <v>0</v>
      </c>
      <c r="I13" s="2" t="inlineStr">
        <is>
          <t>L/h</t>
        </is>
      </c>
      <c r="J13" s="2" t="inlineStr">
        <is>
          <t>100 ms</t>
        </is>
      </c>
      <c r="K13" s="2" t="inlineStr">
        <is>
          <t>по публичным таблицам J1939-71 (S4); стенд: кодирование ↔ декодирование</t>
        </is>
      </c>
    </row>
    <row r="14">
      <c r="A14" s="2" t="n">
        <v>65276</v>
      </c>
      <c r="B14" s="2" t="inlineStr">
        <is>
          <t>0xFEFC</t>
        </is>
      </c>
      <c r="C14" s="2" t="inlineStr">
        <is>
          <t>DD</t>
        </is>
      </c>
      <c r="D14" s="2" t="n">
        <v>96</v>
      </c>
      <c r="E14" s="2" t="inlineStr">
        <is>
          <t>Fuel Level 1</t>
        </is>
      </c>
      <c r="F14" s="2" t="inlineStr">
        <is>
          <t>2–2</t>
        </is>
      </c>
      <c r="G14" s="2" t="n">
        <v>0.4</v>
      </c>
      <c r="H14" s="2" t="n">
        <v>0</v>
      </c>
      <c r="I14" s="2" t="inlineStr">
        <is>
          <t>%</t>
        </is>
      </c>
      <c r="J14" s="2" t="inlineStr">
        <is>
          <t>1 s</t>
        </is>
      </c>
      <c r="K14" s="2" t="inlineStr">
        <is>
          <t>по публичным таблицам J1939-71 (S4); стенд: кодирование ↔ декодирование</t>
        </is>
      </c>
    </row>
    <row r="15">
      <c r="A15" s="2" t="n">
        <v>65262</v>
      </c>
      <c r="B15" s="2" t="inlineStr">
        <is>
          <t>0xFEEE</t>
        </is>
      </c>
      <c r="C15" s="2" t="inlineStr">
        <is>
          <t>ET1</t>
        </is>
      </c>
      <c r="D15" s="2" t="n">
        <v>110</v>
      </c>
      <c r="E15" s="2" t="inlineStr">
        <is>
          <t>Engine Coolant Temperature</t>
        </is>
      </c>
      <c r="F15" s="2" t="inlineStr">
        <is>
          <t>1–1</t>
        </is>
      </c>
      <c r="G15" s="2" t="n">
        <v>1</v>
      </c>
      <c r="H15" s="2" t="n">
        <v>-40</v>
      </c>
      <c r="I15" s="2" t="inlineStr">
        <is>
          <t>degC</t>
        </is>
      </c>
      <c r="J15" s="2" t="inlineStr">
        <is>
          <t>1 s</t>
        </is>
      </c>
      <c r="K15" s="2" t="inlineStr">
        <is>
          <t>по публичным таблицам J1939-71 (S4); стенд: кодирование ↔ декодирование</t>
        </is>
      </c>
    </row>
    <row r="16">
      <c r="A16" s="2" t="n">
        <v>65263</v>
      </c>
      <c r="B16" s="2" t="inlineStr">
        <is>
          <t>0xFEEF</t>
        </is>
      </c>
      <c r="C16" s="2" t="inlineStr">
        <is>
          <t>EFL/P1</t>
        </is>
      </c>
      <c r="D16" s="2" t="n">
        <v>100</v>
      </c>
      <c r="E16" s="2" t="inlineStr">
        <is>
          <t>Engine Oil Pressure</t>
        </is>
      </c>
      <c r="F16" s="2" t="inlineStr">
        <is>
          <t>4–4</t>
        </is>
      </c>
      <c r="G16" s="2" t="n">
        <v>4</v>
      </c>
      <c r="H16" s="2" t="n">
        <v>0</v>
      </c>
      <c r="I16" s="2" t="inlineStr">
        <is>
          <t>kPa</t>
        </is>
      </c>
      <c r="J16" s="2" t="inlineStr">
        <is>
          <t>500 ms</t>
        </is>
      </c>
      <c r="K16" s="2" t="inlineStr">
        <is>
          <t>по публичным таблицам J1939-71 (S4); стенд: кодирование ↔ декодирование</t>
        </is>
      </c>
    </row>
    <row r="17">
      <c r="A17" s="2" t="n">
        <v>59904</v>
      </c>
      <c r="B17" s="2" t="inlineStr">
        <is>
          <t>0xEA00</t>
        </is>
      </c>
      <c r="C17" s="2" t="inlineStr">
        <is>
          <t>RQST</t>
        </is>
      </c>
      <c r="D17" s="2" t="inlineStr">
        <is>
          <t>—</t>
        </is>
      </c>
      <c r="E17" s="2" t="inlineStr">
        <is>
          <t>Request PGN (3 байта: номер запрашиваемого PGN)</t>
        </is>
      </c>
      <c r="F17" s="2" t="inlineStr">
        <is>
          <t>1–3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по событию</t>
        </is>
      </c>
      <c r="K17" s="2" t="inlineStr">
        <is>
          <t>подтверждено (S3); стенд: активный запрос HOURS</t>
        </is>
      </c>
    </row>
    <row r="18">
      <c r="A18" s="2" t="n">
        <v>65216</v>
      </c>
      <c r="B18" s="2" t="inlineStr">
        <is>
          <t>0xFEC0</t>
        </is>
      </c>
      <c r="C18" s="2" t="inlineStr">
        <is>
          <t>SERV</t>
        </is>
      </c>
      <c r="D18" s="2" t="n">
        <v>914</v>
      </c>
      <c r="E18" s="2" t="inlineStr">
        <is>
          <t>Service Distance (сервисный пробег ЭБУ)</t>
        </is>
      </c>
      <c r="F18" s="2" t="inlineStr">
        <is>
          <t>2–3</t>
        </is>
      </c>
      <c r="G18" s="2" t="inlineStr">
        <is>
          <t>проверить</t>
        </is>
      </c>
      <c r="H18" s="2" t="inlineStr">
        <is>
          <t>проверить</t>
        </is>
      </c>
      <c r="I18" s="2" t="inlineStr">
        <is>
          <t>km</t>
        </is>
      </c>
      <c r="J18" s="2" t="inlineStr">
        <is>
          <t>—</t>
        </is>
      </c>
      <c r="K18" s="2" t="inlineStr">
        <is>
          <t>масштаб не подтверждён публично; не используется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4" customWidth="1" min="4" max="4"/>
    <col width="22" customWidth="1" min="5" max="5"/>
    <col width="26" customWidth="1" min="6" max="6"/>
    <col width="24" customWidth="1" min="7" max="7"/>
    <col width="36" customWidth="1" min="8" max="8"/>
    <col width="9" customWidth="1" min="9" max="9"/>
  </cols>
  <sheetData>
    <row r="1" ht="45" customHeight="1">
      <c r="A1" s="3" t="inlineStr">
        <is>
          <t>Цены — ориентиры из открытых магазинов на указанную дату; для бюджета нужны КП.</t>
        </is>
      </c>
    </row>
    <row r="2">
      <c r="A2" s="4" t="inlineStr">
        <is>
          <t>Изделие</t>
        </is>
      </c>
      <c r="B2" s="4" t="inlineStr">
        <is>
          <t>Тип</t>
        </is>
      </c>
      <c r="C2" s="4" t="inlineStr">
        <is>
          <t>CAN / J1939</t>
        </is>
      </c>
      <c r="D2" s="4" t="inlineStr">
        <is>
          <t>Интерфейсы</t>
        </is>
      </c>
      <c r="E2" s="4" t="inlineStr">
        <is>
          <t>Архив</t>
        </is>
      </c>
      <c r="F2" s="4" t="inlineStr">
        <is>
          <t>Протокол на сервер</t>
        </is>
      </c>
      <c r="G2" s="4" t="inlineStr">
        <is>
          <t>Цена</t>
        </is>
      </c>
      <c r="H2" s="4" t="inlineStr">
        <is>
          <t>Комментарий</t>
        </is>
      </c>
      <c r="I2" s="4" t="inlineStr">
        <is>
          <t>Источник</t>
        </is>
      </c>
    </row>
    <row r="3">
      <c r="A3" s="2" t="inlineStr">
        <is>
          <t>Galileosky 10 Plus (Int/Ext)</t>
        </is>
      </c>
      <c r="B3" s="2" t="inlineStr">
        <is>
          <t>Трекер</t>
        </is>
      </c>
      <c r="C3" s="2" t="inlineStr">
        <is>
          <t>Да: J1939/FMS, сканер 13 000+ параметров</t>
        </is>
      </c>
      <c r="D3" s="2" t="inlineStr">
        <is>
          <t>RS-485/232, 1-Wire, BT 5.0</t>
        </is>
      </c>
      <c r="E3" s="2" t="inlineStr">
        <is>
          <t>170 000 точек (eMMC до 2,5 млн)</t>
        </is>
      </c>
      <c r="F3" s="2" t="inlineStr">
        <is>
          <t>Galileosky (Traccar: galileo)</t>
        </is>
      </c>
      <c r="G3" s="2" t="inlineStr">
        <is>
          <t>17 130–17 840 ₽ (14.11.2024, ориентир)</t>
        </is>
      </c>
      <c r="H3" s="2" t="inlineStr">
        <is>
          <t>Российское производство (Пермь)</t>
        </is>
      </c>
      <c r="I3" s="2" t="inlineStr">
        <is>
          <t>S9</t>
        </is>
      </c>
    </row>
    <row r="4">
      <c r="A4" s="2" t="inlineStr">
        <is>
          <t>Навтелеком SIGNAL S-2653</t>
        </is>
      </c>
      <c r="B4" s="2" t="inlineStr">
        <is>
          <t>Трекер</t>
        </is>
      </c>
      <c r="C4" s="2" t="inlineStr">
        <is>
          <t>Да: 2×CAN, J1939 (FMS)</t>
        </is>
      </c>
      <c r="D4" s="2" t="inlineStr">
        <is>
          <t>RS-232/485, 1-Wire, BT 4.0</t>
        </is>
      </c>
      <c r="E4" s="2" t="inlineStr">
        <is>
          <t>SD до 32 ГБ</t>
        </is>
      </c>
      <c r="F4" s="2" t="inlineStr">
        <is>
          <t>NTCB/FLEX (Traccar: navis)</t>
        </is>
      </c>
      <c r="G4" s="2" t="inlineStr">
        <is>
          <t>12 700 ₽ (ориентир)</t>
        </is>
      </c>
      <c r="H4" s="2" t="inlineStr">
        <is>
          <t>Российское производство</t>
        </is>
      </c>
      <c r="I4" s="2" t="inlineStr">
        <is>
          <t>S10</t>
        </is>
      </c>
    </row>
    <row r="5">
      <c r="A5" s="2" t="inlineStr">
        <is>
          <t>Навтелеком SMART S-2435</t>
        </is>
      </c>
      <c r="B5" s="2" t="inlineStr">
        <is>
          <t>Трекер</t>
        </is>
      </c>
      <c r="C5" s="2" t="inlineStr">
        <is>
          <t>Да: 2×CAN</t>
        </is>
      </c>
      <c r="D5" s="2" t="inlineStr">
        <is>
          <t>2G, встроенный АКБ</t>
        </is>
      </c>
      <c r="E5" s="2" t="inlineStr">
        <is>
          <t>н/д</t>
        </is>
      </c>
      <c r="F5" s="2" t="inlineStr">
        <is>
          <t>NTCB/FLEX</t>
        </is>
      </c>
      <c r="G5" s="2" t="inlineStr">
        <is>
          <t>8 500 ₽ (ориентир)</t>
        </is>
      </c>
      <c r="H5" s="2" t="inlineStr">
        <is>
          <t>Бюджетный вариант</t>
        </is>
      </c>
      <c r="I5" s="2" t="inlineStr">
        <is>
          <t>S10</t>
        </is>
      </c>
    </row>
    <row r="6">
      <c r="A6" s="2" t="inlineStr">
        <is>
          <t>CAN-LOG B34 (Фарватер)</t>
        </is>
      </c>
      <c r="B6" s="2" t="inlineStr">
        <is>
          <t>Бесконтактный CAN-считыватель</t>
        </is>
      </c>
      <c r="C6" s="2" t="inlineStr">
        <is>
          <t>Легковые, грузовые, автобусы</t>
        </is>
      </c>
      <c r="D6" s="2" t="inlineStr">
        <is>
          <t>Выход RS-232</t>
        </is>
      </c>
      <c r="E6" s="2" t="inlineStr">
        <is>
          <t>—</t>
        </is>
      </c>
      <c r="F6" s="2" t="inlineStr">
        <is>
          <t>Протокол CAN-LOG (читает трекер)</t>
        </is>
      </c>
      <c r="G6" s="2" t="inlineStr">
        <is>
          <t>10 000 ₽ (ориентир)</t>
        </is>
      </c>
      <c r="H6" s="2" t="inlineStr">
        <is>
          <t>Спецтехника — в B44</t>
        </is>
      </c>
      <c r="I6" s="2" t="inlineStr">
        <is>
          <t>S11</t>
        </is>
      </c>
    </row>
    <row r="7">
      <c r="A7" s="2" t="inlineStr">
        <is>
          <t>CAN-LOG B44 (Фарватер)</t>
        </is>
      </c>
      <c r="B7" s="2" t="inlineStr">
        <is>
          <t>Бесконтактный CAN-считыватель</t>
        </is>
      </c>
      <c r="C7" s="2" t="inlineStr">
        <is>
          <t>+ с/х, строительная, лесная техника</t>
        </is>
      </c>
      <c r="D7" s="2" t="inlineStr">
        <is>
          <t>Выход RS-232</t>
        </is>
      </c>
      <c r="E7" s="2" t="inlineStr">
        <is>
          <t>—</t>
        </is>
      </c>
      <c r="F7" s="2" t="inlineStr">
        <is>
          <t>Протокол CAN-LOG</t>
        </is>
      </c>
      <c r="G7" s="2" t="inlineStr">
        <is>
          <t>по запросу</t>
        </is>
      </c>
      <c r="H7" s="2" t="inlineStr">
        <is>
          <t>Ключевой для машин с проприетарным CAN</t>
        </is>
      </c>
      <c r="I7" s="2" t="inlineStr">
        <is>
          <t>S12</t>
        </is>
      </c>
    </row>
    <row r="8">
      <c r="A8" s="2" t="inlineStr">
        <is>
          <t>Teltonika FMB/FMC</t>
        </is>
      </c>
      <c r="B8" s="2" t="inlineStr">
        <is>
          <t>Трекер</t>
        </is>
      </c>
      <c r="C8" s="2" t="inlineStr">
        <is>
          <t>Да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Codec 8E</t>
        </is>
      </c>
      <c r="G8" s="2" t="inlineStr">
        <is>
          <t>—</t>
        </is>
      </c>
      <c r="H8" s="2" t="inlineStr">
        <is>
          <t>Официальные поставки в РФ прекращены в 2022 (есть серый импорт — без официальной поддержки и прошивок): не закладывать</t>
        </is>
      </c>
      <c r="I8" s="2" t="inlineStr">
        <is>
          <t>S13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4" customWidth="1" min="4" max="4"/>
    <col width="30" customWidth="1" min="5" max="5"/>
    <col width="34" customWidth="1" min="6" max="6"/>
    <col width="26" customWidth="1" min="7" max="7"/>
    <col width="40" customWidth="1" min="8" max="8"/>
  </cols>
  <sheetData>
    <row r="1">
      <c r="A1" s="4" t="inlineStr">
        <is>
          <t>Протокол</t>
        </is>
      </c>
      <c r="B1" s="4" t="inlineStr">
        <is>
          <t>Формат</t>
        </is>
      </c>
      <c r="C1" s="4" t="inlineStr">
        <is>
          <t>Контрольная сумма</t>
        </is>
      </c>
      <c r="D1" s="4" t="inlineStr">
        <is>
          <t>Проверка на реальных пакетах</t>
        </is>
      </c>
      <c r="E1" s="4" t="inlineStr">
        <is>
          <t>Декодер Traccar 6.15.3</t>
        </is>
      </c>
      <c r="F1" s="4" t="inlineStr">
        <is>
          <t>Как передать моточасы</t>
        </is>
      </c>
      <c r="G1" s="4" t="inlineStr">
        <is>
          <t>Сквозной прогон стенда</t>
        </is>
      </c>
      <c r="H1" s="4" t="inlineStr">
        <is>
          <t>Особенности</t>
        </is>
      </c>
    </row>
    <row r="2">
      <c r="A2" s="2" t="inlineStr">
        <is>
          <t>Galileosky</t>
        </is>
      </c>
      <c r="B2" s="2" t="inlineStr">
        <is>
          <t>двоичный, теги</t>
        </is>
      </c>
      <c r="C2" s="2" t="inlineStr">
        <is>
          <t>CRC-16/MODBUS</t>
        </is>
      </c>
      <c r="D2" s="2" t="inlineStr">
        <is>
          <t>12 из 12 пакетов (S1)</t>
        </is>
      </c>
      <c r="E2" s="2" t="inlineStr">
        <is>
          <t>galileo: 0xC2/0xC3 отдаются «сырыми», 0xDB не разбирается</t>
        </is>
      </c>
      <c r="F2" s="2" t="inlineStr">
        <is>
          <t>Тег 0xDB в режиме FMS (/100 = ч, официальный протокол); иначе CAN32BITR0 по настройке</t>
        </is>
      </c>
      <c r="G2" s="2" t="inlineStr">
        <is>
          <t>6581 записей, 6581 сверено</t>
        </is>
      </c>
      <c r="H2" s="2" t="inlineStr">
        <is>
          <t>Пакет ≤ 1000 байт; ответ 0x02 + CRC</t>
        </is>
      </c>
    </row>
    <row r="3">
      <c r="A3" s="2" t="inlineStr">
        <is>
          <t>Wialon IPS 2.0</t>
        </is>
      </c>
      <c r="B3" s="2" t="inlineStr">
        <is>
          <t>текст</t>
        </is>
      </c>
      <c r="C3" s="2" t="inlineStr">
        <is>
          <t>CRC-16/ARC (4 hex)</t>
        </is>
      </c>
      <c r="D3" s="2" t="inlineStr">
        <is>
          <t>5 из 6 пакетов; 1 логин с нестандартной CRC — журналировать, не отбрасывать (S1, S2)</t>
        </is>
      </c>
      <c r="E3" s="2" t="inlineStr">
        <is>
          <t>wialon: CRC не проверяет; имена параметров в нижнем регистре</t>
        </is>
      </c>
      <c r="F3" s="2" t="inlineStr">
        <is>
          <t>Параметр вида eng_hours:2:1234.55</t>
        </is>
      </c>
      <c r="G3" s="2" t="inlineStr">
        <is>
          <t>7013 записей, 7013 сверено</t>
        </is>
      </c>
      <c r="H3" s="2" t="inlineStr">
        <is>
          <t>saveOriginal=true ломает сохранение чёрного ящика (атрибуты &gt; 4000 символов)</t>
        </is>
      </c>
    </row>
    <row r="4">
      <c r="A4" s="2" t="inlineStr">
        <is>
          <t>EGTS</t>
        </is>
      </c>
      <c r="B4" s="2" t="inlineStr">
        <is>
          <t>двоичный (ГОСТ 33472-2015)</t>
        </is>
      </c>
      <c r="C4" s="2" t="inlineStr">
        <is>
          <t>CRC-8 (0x31, 0xFF) + CRC-16 CCITT</t>
        </is>
      </c>
      <c r="D4" s="2" t="inlineStr">
        <is>
          <t>17 из 17 пакетов (S1)</t>
        </is>
      </c>
      <c r="E4" s="2" t="inlineStr">
        <is>
          <t>egts: позиции да; COUNTERS/ABS_CNTR (моточасы) — нет</t>
        </is>
      </c>
      <c r="F4" s="2" t="inlineStr">
        <is>
          <t>Счётчик ABS_CNTR (номер и масштаб — по договорённости)</t>
        </is>
      </c>
      <c r="G4" s="2" t="inlineStr">
        <is>
          <t>3834 записей, 3833 сверено</t>
        </is>
      </c>
      <c r="H4" s="2" t="inlineStr">
        <is>
          <t>Моточасы теряются в Traccar: нужна доработка или свой приёмник</t>
        </is>
      </c>
    </row>
    <row r="5">
      <c r="A5" s="2" t="inlineStr">
        <is>
          <t>NTCB/FLEX (Навтелеком)</t>
        </is>
      </c>
      <c r="B5" s="2" t="inlineStr">
        <is>
          <t>двоичный</t>
        </is>
      </c>
      <c r="C5" s="2" t="inlineStr">
        <is>
          <t>CRC-8 (по документации)</t>
        </is>
      </c>
      <c r="D5" s="2" t="inlineStr">
        <is>
          <t>не проверялось</t>
        </is>
      </c>
      <c r="E5" s="2" t="inlineStr">
        <is>
          <t>navis</t>
        </is>
      </c>
      <c r="F5" s="2" t="inlineStr">
        <is>
          <t>Поле FLEX (номер — по документации производителя)</t>
        </is>
      </c>
      <c r="G5" s="2" t="inlineStr">
        <is>
          <t>не моделировалось</t>
        </is>
      </c>
      <c r="H5" s="2" t="inlineStr">
        <is>
          <t>Уточнить таблицу полей FLEX у производителя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10" customWidth="1" min="4" max="4"/>
  </cols>
  <sheetData>
    <row r="1">
      <c r="A1" s="4" t="inlineStr">
        <is>
          <t>Канал</t>
        </is>
      </c>
      <c r="B1" s="4" t="inlineStr">
        <is>
          <t>Статус в РФ</t>
        </is>
      </c>
      <c r="C1" s="4" t="inlineStr">
        <is>
          <t>Роль в системе</t>
        </is>
      </c>
      <c r="D1" s="4" t="inlineStr">
        <is>
          <t>Источник</t>
        </is>
      </c>
    </row>
    <row r="2">
      <c r="A2" s="2" t="inlineStr">
        <is>
          <t>2G (GSM)</t>
        </is>
      </c>
      <c r="B2" s="2" t="inlineStr">
        <is>
          <t>Сохраняется не менее 10 лет</t>
        </is>
      </c>
      <c r="C2" s="2" t="inlineStr">
        <is>
          <t>Резерв там, где нет LTE (поля, дороги)</t>
        </is>
      </c>
      <c r="D2" s="2" t="inlineStr">
        <is>
          <t>S22</t>
        </is>
      </c>
    </row>
    <row r="3">
      <c r="A3" s="2" t="inlineStr">
        <is>
          <t>3G</t>
        </is>
      </c>
      <c r="B3" s="2" t="inlineStr">
        <is>
          <t>Операторы ускоряют отключение (МТС — 2026)</t>
        </is>
      </c>
      <c r="C3" s="2" t="inlineStr">
        <is>
          <t>Не выбирать 3G-модемы</t>
        </is>
      </c>
      <c r="D3" s="2" t="inlineStr">
        <is>
          <t>S21</t>
        </is>
      </c>
    </row>
    <row r="4">
      <c r="A4" s="2" t="inlineStr">
        <is>
          <t>4G LTE Cat.1/Cat.4</t>
        </is>
      </c>
      <c r="B4" s="2" t="inlineStr">
        <is>
          <t>Основная сеть</t>
        </is>
      </c>
      <c r="C4" s="2" t="inlineStr">
        <is>
          <t>Основной канал; модем с 2G-резервом</t>
        </is>
      </c>
      <c r="D4" s="2" t="inlineStr">
        <is>
          <t>—</t>
        </is>
      </c>
    </row>
    <row r="5">
      <c r="A5" s="2" t="inlineStr">
        <is>
          <t>NB-IoT / LTE-M</t>
        </is>
      </c>
      <c r="B5" s="2" t="inlineStr">
        <is>
          <t>Ограниченное покрытие, карты операторами не публикуются</t>
        </is>
      </c>
      <c r="C5" s="2" t="inlineStr">
        <is>
          <t>Не основной канал для техники в движении</t>
        </is>
      </c>
      <c r="D5" s="2" t="inlineStr">
        <is>
          <t>проверить</t>
        </is>
      </c>
    </row>
    <row r="6">
      <c r="A6" s="2" t="inlineStr">
        <is>
          <t>Спутник (Гонец и др.)</t>
        </is>
      </c>
      <c r="B6" s="2" t="inlineStr">
        <is>
          <t>Статус коммерческих услуг — проверить; Starlink в РФ не используется</t>
        </is>
      </c>
      <c r="C6" s="2" t="inlineStr">
        <is>
          <t>Опция для машин, неделями без связи</t>
        </is>
      </c>
      <c r="D6" s="2" t="inlineStr">
        <is>
          <t>проверить</t>
        </is>
      </c>
    </row>
    <row r="7">
      <c r="A7" s="2" t="inlineStr">
        <is>
          <t>Частная сеть карьера (LTE/Wi-Fi)</t>
        </is>
      </c>
      <c r="B7" s="2" t="inlineStr">
        <is>
          <t>По договорённости с предприятием</t>
        </is>
      </c>
      <c r="C7" s="2" t="inlineStr">
        <is>
          <t>APN/VPN до нашего шлюза</t>
        </is>
      </c>
      <c r="D7" s="2" t="inlineStr">
        <is>
          <t>—</t>
        </is>
      </c>
    </row>
    <row r="8">
      <c r="A8" s="2" t="inlineStr">
        <is>
          <t>Bluetooth-выгрузка через телефон</t>
        </is>
      </c>
      <c r="B8" s="2" t="inlineStr">
        <is>
          <t>Зависит от модели трекера</t>
        </is>
      </c>
      <c r="C8" s="2" t="inlineStr">
        <is>
          <t>Резерв для лесосек (механик/оператор забирает архив)</t>
        </is>
      </c>
      <c r="D8" s="2" t="inlineStr">
        <is>
          <t>проверить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2" customWidth="1" min="9" max="9"/>
    <col width="11" customWidth="1" min="10" max="10"/>
    <col width="12" customWidth="1" min="11" max="11"/>
  </cols>
  <sheetData>
    <row r="1">
      <c r="A1" s="5" t="inlineStr">
        <is>
          <t>Трафик одной машины в месяц. Точек/сутки и байт на точку — со стенда (голубые), остальное — ввод.</t>
        </is>
      </c>
    </row>
    <row r="3">
      <c r="A3" t="inlineStr">
        <is>
          <t>TCP/IP заголовки на сегмент, байт</t>
        </is>
      </c>
      <c r="C3" s="6" t="n">
        <v>40</v>
      </c>
    </row>
    <row r="4">
      <c r="A4" t="inlineStr">
        <is>
          <t>Накладные на TCP-сессию, байт</t>
        </is>
      </c>
      <c r="C4" s="6" t="n">
        <v>300</v>
      </c>
    </row>
    <row r="5">
      <c r="A5" t="inlineStr">
        <is>
          <t>Дней в месяце</t>
        </is>
      </c>
      <c r="C5" s="6" t="n">
        <v>30</v>
      </c>
    </row>
    <row r="6">
      <c r="A6" t="inlineStr">
        <is>
          <t>Запас при выборе тарифа</t>
        </is>
      </c>
      <c r="C6" s="6" t="n">
        <v>1.3</v>
      </c>
    </row>
    <row r="8">
      <c r="A8" s="4" t="inlineStr">
        <is>
          <t>Машина</t>
        </is>
      </c>
      <c r="B8" s="4" t="inlineStr">
        <is>
          <t>Протокол</t>
        </is>
      </c>
      <c r="C8" s="4" t="inlineStr">
        <is>
          <t>Точек/сутки</t>
        </is>
      </c>
      <c r="D8" s="4" t="inlineStr">
        <is>
          <t>Байт на точку</t>
        </is>
      </c>
      <c r="E8" s="4" t="inlineStr">
        <is>
          <t>Точек в пакете</t>
        </is>
      </c>
      <c r="F8" s="4" t="inlineStr">
        <is>
          <t>Накладные пакета, байт</t>
        </is>
      </c>
      <c r="G8" s="4" t="inlineStr">
        <is>
          <t>Ответ сервера на пакет, байт</t>
        </is>
      </c>
      <c r="H8" s="4" t="inlineStr">
        <is>
          <t>Сессий/сутки</t>
        </is>
      </c>
      <c r="I8" s="4" t="inlineStr">
        <is>
          <t>Байт/сутки</t>
        </is>
      </c>
      <c r="J8" s="4" t="inlineStr">
        <is>
          <t>МБ/месяц</t>
        </is>
      </c>
      <c r="K8" s="4" t="inlineStr">
        <is>
          <t>Пакет тарифа, МБ</t>
        </is>
      </c>
    </row>
    <row r="9">
      <c r="A9" t="inlineStr">
        <is>
          <t>Трактор с электронным двигателем (J1939)</t>
        </is>
      </c>
      <c r="B9" t="inlineStr">
        <is>
          <t>galileosky</t>
        </is>
      </c>
      <c r="C9" s="7" t="n">
        <v>1709</v>
      </c>
      <c r="D9" s="7" t="n">
        <v>59</v>
      </c>
      <c r="E9" s="6" t="n">
        <v>17</v>
      </c>
      <c r="F9" s="6" t="n">
        <v>5</v>
      </c>
      <c r="G9" s="6" t="n">
        <v>3</v>
      </c>
      <c r="H9" s="6" t="n">
        <v>18</v>
      </c>
      <c r="I9" s="8">
        <f>C9*D9+ROUNDUP(C9/E9,0)*(F9+G9+2*$C$3)+H9*$C$4</f>
        <v/>
      </c>
      <c r="J9" s="8">
        <f>ROUND(I9*$C$5/1000000,2)</f>
        <v/>
      </c>
      <c r="K9" s="8">
        <f>ROUNDUP(J9*$C$6/10,0)*10</f>
        <v/>
      </c>
    </row>
    <row r="10">
      <c r="A10" t="inlineStr">
        <is>
          <t>Трактор с электронным двигателем (J1939)</t>
        </is>
      </c>
      <c r="B10" t="inlineStr">
        <is>
          <t>wialon</t>
        </is>
      </c>
      <c r="C10" s="7" t="n">
        <v>1709</v>
      </c>
      <c r="D10" s="7" t="n">
        <v>165</v>
      </c>
      <c r="E10" s="6" t="n">
        <v>100</v>
      </c>
      <c r="F10" s="6" t="n">
        <v>9</v>
      </c>
      <c r="G10" s="6" t="n">
        <v>9</v>
      </c>
      <c r="H10" s="6" t="n">
        <v>18</v>
      </c>
      <c r="I10" s="8">
        <f>C10*D10+ROUNDUP(C10/E10,0)*(F10+G10+2*$C$3)+H10*$C$4</f>
        <v/>
      </c>
      <c r="J10" s="8">
        <f>ROUND(I10*$C$5/1000000,2)</f>
        <v/>
      </c>
      <c r="K10" s="8">
        <f>ROUNDUP(J10*$C$6/10,0)*10</f>
        <v/>
      </c>
    </row>
    <row r="11">
      <c r="A11" t="inlineStr">
        <is>
          <t>Трактор с электронным двигателем (J1939)</t>
        </is>
      </c>
      <c r="B11" t="inlineStr">
        <is>
          <t>egts</t>
        </is>
      </c>
      <c r="C11" s="7" t="n">
        <v>1709</v>
      </c>
      <c r="D11" s="7" t="n">
        <v>48</v>
      </c>
      <c r="E11" s="6" t="n">
        <v>20</v>
      </c>
      <c r="F11" s="6" t="n">
        <v>13</v>
      </c>
      <c r="G11" s="6" t="n">
        <v>580</v>
      </c>
      <c r="H11" s="6" t="n">
        <v>18</v>
      </c>
      <c r="I11" s="8">
        <f>C11*D11+ROUNDUP(C11/E11,0)*(F11+G11+2*$C$3)+H11*$C$4</f>
        <v/>
      </c>
      <c r="J11" s="8">
        <f>ROUND(I11*$C$5/1000000,2)</f>
        <v/>
      </c>
      <c r="K11" s="8">
        <f>ROUNDUP(J11*$C$6/10,0)*10</f>
        <v/>
      </c>
    </row>
    <row r="12">
      <c r="A12" t="inlineStr">
        <is>
          <t>Трактор с механическим ТНВД (без CAN)</t>
        </is>
      </c>
      <c r="B12" t="inlineStr">
        <is>
          <t>galileosky</t>
        </is>
      </c>
      <c r="C12" s="7" t="n">
        <v>1410</v>
      </c>
      <c r="D12" s="7" t="n">
        <v>39</v>
      </c>
      <c r="E12" s="6" t="n">
        <v>17</v>
      </c>
      <c r="F12" s="6" t="n">
        <v>5</v>
      </c>
      <c r="G12" s="6" t="n">
        <v>3</v>
      </c>
      <c r="H12" s="6" t="n">
        <v>17</v>
      </c>
      <c r="I12" s="8">
        <f>C12*D12+ROUNDUP(C12/E12,0)*(F12+G12+2*$C$3)+H12*$C$4</f>
        <v/>
      </c>
      <c r="J12" s="8">
        <f>ROUND(I12*$C$5/1000000,2)</f>
        <v/>
      </c>
      <c r="K12" s="8">
        <f>ROUNDUP(J12*$C$6/10,0)*10</f>
        <v/>
      </c>
    </row>
    <row r="13">
      <c r="A13" t="inlineStr">
        <is>
          <t>Трактор с механическим ТНВД (без CAN)</t>
        </is>
      </c>
      <c r="B13" t="inlineStr">
        <is>
          <t>wialon</t>
        </is>
      </c>
      <c r="C13" s="7" t="n">
        <v>1410</v>
      </c>
      <c r="D13" s="7" t="n">
        <v>124</v>
      </c>
      <c r="E13" s="6" t="n">
        <v>100</v>
      </c>
      <c r="F13" s="6" t="n">
        <v>9</v>
      </c>
      <c r="G13" s="6" t="n">
        <v>9</v>
      </c>
      <c r="H13" s="6" t="n">
        <v>17</v>
      </c>
      <c r="I13" s="8">
        <f>C13*D13+ROUNDUP(C13/E13,0)*(F13+G13+2*$C$3)+H13*$C$4</f>
        <v/>
      </c>
      <c r="J13" s="8">
        <f>ROUND(I13*$C$5/1000000,2)</f>
        <v/>
      </c>
      <c r="K13" s="8">
        <f>ROUNDUP(J13*$C$6/10,0)*10</f>
        <v/>
      </c>
    </row>
    <row r="14">
      <c r="A14" t="inlineStr">
        <is>
          <t>Трактор с механическим ТНВД (без CAN)</t>
        </is>
      </c>
      <c r="B14" t="inlineStr">
        <is>
          <t>egts</t>
        </is>
      </c>
      <c r="C14" s="7" t="n">
        <v>1410</v>
      </c>
      <c r="D14" s="7" t="n">
        <v>41</v>
      </c>
      <c r="E14" s="6" t="n">
        <v>20</v>
      </c>
      <c r="F14" s="6" t="n">
        <v>13</v>
      </c>
      <c r="G14" s="6" t="n">
        <v>580</v>
      </c>
      <c r="H14" s="6" t="n">
        <v>17</v>
      </c>
      <c r="I14" s="8">
        <f>C14*D14+ROUNDUP(C14/E14,0)*(F14+G14+2*$C$3)+H14*$C$4</f>
        <v/>
      </c>
      <c r="J14" s="8">
        <f>ROUND(I14*$C$5/1000000,2)</f>
        <v/>
      </c>
      <c r="K14" s="8">
        <f>ROUNDUP(J14*$C$6/10,0)*10</f>
        <v/>
      </c>
    </row>
    <row r="15">
      <c r="A15" t="inlineStr">
        <is>
          <t>Харвестер</t>
        </is>
      </c>
      <c r="B15" t="inlineStr">
        <is>
          <t>galileosky</t>
        </is>
      </c>
      <c r="C15" s="7" t="n">
        <v>334</v>
      </c>
      <c r="D15" s="7" t="n">
        <v>59</v>
      </c>
      <c r="E15" s="6" t="n">
        <v>17</v>
      </c>
      <c r="F15" s="6" t="n">
        <v>5</v>
      </c>
      <c r="G15" s="6" t="n">
        <v>3</v>
      </c>
      <c r="H15" s="6" t="n">
        <v>1</v>
      </c>
      <c r="I15" s="8">
        <f>C15*D15+ROUNDUP(C15/E15,0)*(F15+G15+2*$C$3)+H15*$C$4</f>
        <v/>
      </c>
      <c r="J15" s="8">
        <f>ROUND(I15*$C$5/1000000,2)</f>
        <v/>
      </c>
      <c r="K15" s="8">
        <f>ROUNDUP(J15*$C$6/10,0)*10</f>
        <v/>
      </c>
    </row>
    <row r="16">
      <c r="A16" t="inlineStr">
        <is>
          <t>Харвестер</t>
        </is>
      </c>
      <c r="B16" t="inlineStr">
        <is>
          <t>wialon</t>
        </is>
      </c>
      <c r="C16" s="7" t="n">
        <v>334</v>
      </c>
      <c r="D16" s="7" t="n">
        <v>165</v>
      </c>
      <c r="E16" s="6" t="n">
        <v>100</v>
      </c>
      <c r="F16" s="6" t="n">
        <v>9</v>
      </c>
      <c r="G16" s="6" t="n">
        <v>9</v>
      </c>
      <c r="H16" s="6" t="n">
        <v>1</v>
      </c>
      <c r="I16" s="8">
        <f>C16*D16+ROUNDUP(C16/E16,0)*(F16+G16+2*$C$3)+H16*$C$4</f>
        <v/>
      </c>
      <c r="J16" s="8">
        <f>ROUND(I16*$C$5/1000000,2)</f>
        <v/>
      </c>
      <c r="K16" s="8">
        <f>ROUNDUP(J16*$C$6/10,0)*10</f>
        <v/>
      </c>
    </row>
    <row r="17">
      <c r="A17" t="inlineStr">
        <is>
          <t>Харвестер</t>
        </is>
      </c>
      <c r="B17" t="inlineStr">
        <is>
          <t>egts</t>
        </is>
      </c>
      <c r="C17" s="7" t="n">
        <v>334</v>
      </c>
      <c r="D17" s="7" t="n">
        <v>48</v>
      </c>
      <c r="E17" s="6" t="n">
        <v>20</v>
      </c>
      <c r="F17" s="6" t="n">
        <v>13</v>
      </c>
      <c r="G17" s="6" t="n">
        <v>580</v>
      </c>
      <c r="H17" s="6" t="n">
        <v>1</v>
      </c>
      <c r="I17" s="8">
        <f>C17*D17+ROUNDUP(C17/E17,0)*(F17+G17+2*$C$3)+H17*$C$4</f>
        <v/>
      </c>
      <c r="J17" s="8">
        <f>ROUND(I17*$C$5/1000000,2)</f>
        <v/>
      </c>
      <c r="K17" s="8">
        <f>ROUNDUP(J17*$C$6/10,0)*10</f>
        <v/>
      </c>
    </row>
    <row r="18">
      <c r="A18" t="inlineStr">
        <is>
          <t>Форвардер</t>
        </is>
      </c>
      <c r="B18" t="inlineStr">
        <is>
          <t>galileosky</t>
        </is>
      </c>
      <c r="C18" s="7" t="n">
        <v>886</v>
      </c>
      <c r="D18" s="7" t="n">
        <v>59</v>
      </c>
      <c r="E18" s="6" t="n">
        <v>17</v>
      </c>
      <c r="F18" s="6" t="n">
        <v>5</v>
      </c>
      <c r="G18" s="6" t="n">
        <v>3</v>
      </c>
      <c r="H18" s="6" t="n">
        <v>20</v>
      </c>
      <c r="I18" s="8">
        <f>C18*D18+ROUNDUP(C18/E18,0)*(F18+G18+2*$C$3)+H18*$C$4</f>
        <v/>
      </c>
      <c r="J18" s="8">
        <f>ROUND(I18*$C$5/1000000,2)</f>
        <v/>
      </c>
      <c r="K18" s="8">
        <f>ROUNDUP(J18*$C$6/10,0)*10</f>
        <v/>
      </c>
    </row>
    <row r="19">
      <c r="A19" t="inlineStr">
        <is>
          <t>Форвардер</t>
        </is>
      </c>
      <c r="B19" t="inlineStr">
        <is>
          <t>wialon</t>
        </is>
      </c>
      <c r="C19" s="7" t="n">
        <v>886</v>
      </c>
      <c r="D19" s="7" t="n">
        <v>165</v>
      </c>
      <c r="E19" s="6" t="n">
        <v>100</v>
      </c>
      <c r="F19" s="6" t="n">
        <v>9</v>
      </c>
      <c r="G19" s="6" t="n">
        <v>9</v>
      </c>
      <c r="H19" s="6" t="n">
        <v>20</v>
      </c>
      <c r="I19" s="8">
        <f>C19*D19+ROUNDUP(C19/E19,0)*(F19+G19+2*$C$3)+H19*$C$4</f>
        <v/>
      </c>
      <c r="J19" s="8">
        <f>ROUND(I19*$C$5/1000000,2)</f>
        <v/>
      </c>
      <c r="K19" s="8">
        <f>ROUNDUP(J19*$C$6/10,0)*10</f>
        <v/>
      </c>
    </row>
    <row r="20">
      <c r="A20" t="inlineStr">
        <is>
          <t>Форвардер</t>
        </is>
      </c>
      <c r="B20" t="inlineStr">
        <is>
          <t>egts</t>
        </is>
      </c>
      <c r="C20" s="7" t="n">
        <v>886</v>
      </c>
      <c r="D20" s="7" t="n">
        <v>48</v>
      </c>
      <c r="E20" s="6" t="n">
        <v>20</v>
      </c>
      <c r="F20" s="6" t="n">
        <v>13</v>
      </c>
      <c r="G20" s="6" t="n">
        <v>580</v>
      </c>
      <c r="H20" s="6" t="n">
        <v>20</v>
      </c>
      <c r="I20" s="8">
        <f>C20*D20+ROUNDUP(C20/E20,0)*(F20+G20+2*$C$3)+H20*$C$4</f>
        <v/>
      </c>
      <c r="J20" s="8">
        <f>ROUND(I20*$C$5/1000000,2)</f>
        <v/>
      </c>
      <c r="K20" s="8">
        <f>ROUNDUP(J20*$C$6/10,0)*10</f>
        <v/>
      </c>
    </row>
    <row r="21">
      <c r="A21" t="inlineStr">
        <is>
          <t>Экскаватор 20-50 т</t>
        </is>
      </c>
      <c r="B21" t="inlineStr">
        <is>
          <t>galileosky</t>
        </is>
      </c>
      <c r="C21" s="7" t="n">
        <v>298</v>
      </c>
      <c r="D21" s="7" t="n">
        <v>59</v>
      </c>
      <c r="E21" s="6" t="n">
        <v>17</v>
      </c>
      <c r="F21" s="6" t="n">
        <v>5</v>
      </c>
      <c r="G21" s="6" t="n">
        <v>3</v>
      </c>
      <c r="H21" s="6" t="n">
        <v>3</v>
      </c>
      <c r="I21" s="8">
        <f>C21*D21+ROUNDUP(C21/E21,0)*(F21+G21+2*$C$3)+H21*$C$4</f>
        <v/>
      </c>
      <c r="J21" s="8">
        <f>ROUND(I21*$C$5/1000000,2)</f>
        <v/>
      </c>
      <c r="K21" s="8">
        <f>ROUNDUP(J21*$C$6/10,0)*10</f>
        <v/>
      </c>
    </row>
    <row r="22">
      <c r="A22" t="inlineStr">
        <is>
          <t>Экскаватор 20-50 т</t>
        </is>
      </c>
      <c r="B22" t="inlineStr">
        <is>
          <t>wialon</t>
        </is>
      </c>
      <c r="C22" s="7" t="n">
        <v>298</v>
      </c>
      <c r="D22" s="7" t="n">
        <v>165</v>
      </c>
      <c r="E22" s="6" t="n">
        <v>100</v>
      </c>
      <c r="F22" s="6" t="n">
        <v>9</v>
      </c>
      <c r="G22" s="6" t="n">
        <v>9</v>
      </c>
      <c r="H22" s="6" t="n">
        <v>3</v>
      </c>
      <c r="I22" s="8">
        <f>C22*D22+ROUNDUP(C22/E22,0)*(F22+G22+2*$C$3)+H22*$C$4</f>
        <v/>
      </c>
      <c r="J22" s="8">
        <f>ROUND(I22*$C$5/1000000,2)</f>
        <v/>
      </c>
      <c r="K22" s="8">
        <f>ROUNDUP(J22*$C$6/10,0)*10</f>
        <v/>
      </c>
    </row>
    <row r="23">
      <c r="A23" t="inlineStr">
        <is>
          <t>Экскаватор 20-50 т</t>
        </is>
      </c>
      <c r="B23" t="inlineStr">
        <is>
          <t>egts</t>
        </is>
      </c>
      <c r="C23" s="7" t="n">
        <v>298</v>
      </c>
      <c r="D23" s="7" t="n">
        <v>48</v>
      </c>
      <c r="E23" s="6" t="n">
        <v>20</v>
      </c>
      <c r="F23" s="6" t="n">
        <v>13</v>
      </c>
      <c r="G23" s="6" t="n">
        <v>580</v>
      </c>
      <c r="H23" s="6" t="n">
        <v>3</v>
      </c>
      <c r="I23" s="8">
        <f>C23*D23+ROUNDUP(C23/E23,0)*(F23+G23+2*$C$3)+H23*$C$4</f>
        <v/>
      </c>
      <c r="J23" s="8">
        <f>ROUND(I23*$C$5/1000000,2)</f>
        <v/>
      </c>
      <c r="K23" s="8">
        <f>ROUNDUP(J23*$C$6/10,0)*10</f>
        <v/>
      </c>
    </row>
    <row r="24">
      <c r="A24" t="inlineStr">
        <is>
          <t>Карьерный самосвал</t>
        </is>
      </c>
      <c r="B24" t="inlineStr">
        <is>
          <t>galileosky</t>
        </is>
      </c>
      <c r="C24" s="7" t="n">
        <v>1943</v>
      </c>
      <c r="D24" s="7" t="n">
        <v>59</v>
      </c>
      <c r="E24" s="6" t="n">
        <v>17</v>
      </c>
      <c r="F24" s="6" t="n">
        <v>5</v>
      </c>
      <c r="G24" s="6" t="n">
        <v>3</v>
      </c>
      <c r="H24" s="6" t="n">
        <v>4</v>
      </c>
      <c r="I24" s="8">
        <f>C24*D24+ROUNDUP(C24/E24,0)*(F24+G24+2*$C$3)+H24*$C$4</f>
        <v/>
      </c>
      <c r="J24" s="8">
        <f>ROUND(I24*$C$5/1000000,2)</f>
        <v/>
      </c>
      <c r="K24" s="8">
        <f>ROUNDUP(J24*$C$6/10,0)*10</f>
        <v/>
      </c>
    </row>
    <row r="25">
      <c r="A25" t="inlineStr">
        <is>
          <t>Карьерный самосвал</t>
        </is>
      </c>
      <c r="B25" t="inlineStr">
        <is>
          <t>wialon</t>
        </is>
      </c>
      <c r="C25" s="7" t="n">
        <v>1943</v>
      </c>
      <c r="D25" s="7" t="n">
        <v>165</v>
      </c>
      <c r="E25" s="6" t="n">
        <v>100</v>
      </c>
      <c r="F25" s="6" t="n">
        <v>9</v>
      </c>
      <c r="G25" s="6" t="n">
        <v>9</v>
      </c>
      <c r="H25" s="6" t="n">
        <v>4</v>
      </c>
      <c r="I25" s="8">
        <f>C25*D25+ROUNDUP(C25/E25,0)*(F25+G25+2*$C$3)+H25*$C$4</f>
        <v/>
      </c>
      <c r="J25" s="8">
        <f>ROUND(I25*$C$5/1000000,2)</f>
        <v/>
      </c>
      <c r="K25" s="8">
        <f>ROUNDUP(J25*$C$6/10,0)*10</f>
        <v/>
      </c>
    </row>
    <row r="26">
      <c r="A26" t="inlineStr">
        <is>
          <t>Карьерный самосвал</t>
        </is>
      </c>
      <c r="B26" t="inlineStr">
        <is>
          <t>egts</t>
        </is>
      </c>
      <c r="C26" s="7" t="n">
        <v>1943</v>
      </c>
      <c r="D26" s="7" t="n">
        <v>48</v>
      </c>
      <c r="E26" s="6" t="n">
        <v>20</v>
      </c>
      <c r="F26" s="6" t="n">
        <v>13</v>
      </c>
      <c r="G26" s="6" t="n">
        <v>580</v>
      </c>
      <c r="H26" s="6" t="n">
        <v>4</v>
      </c>
      <c r="I26" s="8">
        <f>C26*D26+ROUNDUP(C26/E26,0)*(F26+G26+2*$C$3)+H26*$C$4</f>
        <v/>
      </c>
      <c r="J26" s="8">
        <f>ROUND(I26*$C$5/1000000,2)</f>
        <v/>
      </c>
      <c r="K26" s="8">
        <f>ROUNDUP(J26*$C$6/10,0)*10</f>
        <v/>
      </c>
    </row>
    <row r="27">
      <c r="A27" t="inlineStr">
        <is>
          <t>Лесовоз с манипулятором</t>
        </is>
      </c>
      <c r="B27" t="inlineStr">
        <is>
          <t>galileosky</t>
        </is>
      </c>
      <c r="C27" s="7" t="n">
        <v>1428</v>
      </c>
      <c r="D27" s="7" t="n">
        <v>59</v>
      </c>
      <c r="E27" s="6" t="n">
        <v>17</v>
      </c>
      <c r="F27" s="6" t="n">
        <v>5</v>
      </c>
      <c r="G27" s="6" t="n">
        <v>3</v>
      </c>
      <c r="H27" s="6" t="n">
        <v>6</v>
      </c>
      <c r="I27" s="8">
        <f>C27*D27+ROUNDUP(C27/E27,0)*(F27+G27+2*$C$3)+H27*$C$4</f>
        <v/>
      </c>
      <c r="J27" s="8">
        <f>ROUND(I27*$C$5/1000000,2)</f>
        <v/>
      </c>
      <c r="K27" s="8">
        <f>ROUNDUP(J27*$C$6/10,0)*10</f>
        <v/>
      </c>
    </row>
    <row r="28">
      <c r="A28" t="inlineStr">
        <is>
          <t>Лесовоз с манипулятором</t>
        </is>
      </c>
      <c r="B28" t="inlineStr">
        <is>
          <t>wialon</t>
        </is>
      </c>
      <c r="C28" s="7" t="n">
        <v>1428</v>
      </c>
      <c r="D28" s="7" t="n">
        <v>165</v>
      </c>
      <c r="E28" s="6" t="n">
        <v>100</v>
      </c>
      <c r="F28" s="6" t="n">
        <v>9</v>
      </c>
      <c r="G28" s="6" t="n">
        <v>9</v>
      </c>
      <c r="H28" s="6" t="n">
        <v>6</v>
      </c>
      <c r="I28" s="8">
        <f>C28*D28+ROUNDUP(C28/E28,0)*(F28+G28+2*$C$3)+H28*$C$4</f>
        <v/>
      </c>
      <c r="J28" s="8">
        <f>ROUND(I28*$C$5/1000000,2)</f>
        <v/>
      </c>
      <c r="K28" s="8">
        <f>ROUNDUP(J28*$C$6/10,0)*10</f>
        <v/>
      </c>
    </row>
    <row r="29">
      <c r="A29" t="inlineStr">
        <is>
          <t>Лесовоз с манипулятором</t>
        </is>
      </c>
      <c r="B29" t="inlineStr">
        <is>
          <t>egts</t>
        </is>
      </c>
      <c r="C29" s="7" t="n">
        <v>1428</v>
      </c>
      <c r="D29" s="7" t="n">
        <v>48</v>
      </c>
      <c r="E29" s="6" t="n">
        <v>20</v>
      </c>
      <c r="F29" s="6" t="n">
        <v>13</v>
      </c>
      <c r="G29" s="6" t="n">
        <v>580</v>
      </c>
      <c r="H29" s="6" t="n">
        <v>6</v>
      </c>
      <c r="I29" s="8">
        <f>C29*D29+ROUNDUP(C29/E29,0)*(F29+G29+2*$C$3)+H29*$C$4</f>
        <v/>
      </c>
      <c r="J29" s="8">
        <f>ROUND(I29*$C$5/1000000,2)</f>
        <v/>
      </c>
      <c r="K29" s="8">
        <f>ROUNDUP(J29*$C$6/10,0)*10</f>
        <v/>
      </c>
    </row>
    <row r="31">
      <c r="A31" s="5" t="inlineStr">
        <is>
          <t>EGTS: ответ шлюза — по пакету на каждую запись (так отвечает Traccar), поэтому накладные ответа велики.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5" t="inlineStr">
        <is>
          <t>Хранилище и нагрузка на приём (TimescaleDB/PostgreSQL).</t>
        </is>
      </c>
    </row>
    <row r="3">
      <c r="A3" t="inlineStr">
        <is>
          <t>Парк машин</t>
        </is>
      </c>
      <c r="B3" s="6" t="n">
        <v>10000</v>
      </c>
    </row>
    <row r="4">
      <c r="A4" t="inlineStr">
        <is>
          <t>Точек в сутки на машину (среднее)</t>
        </is>
      </c>
      <c r="B4" s="6" t="n">
        <v>700</v>
      </c>
    </row>
    <row r="5">
      <c r="A5" t="inlineStr">
        <is>
          <t>Байт на строку в БД до сжатия</t>
        </is>
      </c>
      <c r="B5" s="6" t="n">
        <v>200</v>
      </c>
    </row>
    <row r="6">
      <c r="A6" t="inlineStr">
        <is>
          <t>Коэффициент сжатия (доля от исходного, допущение)</t>
        </is>
      </c>
      <c r="B6" s="6" t="n">
        <v>0.1</v>
      </c>
    </row>
    <row r="7">
      <c r="A7" t="inlineStr">
        <is>
          <t>Срок хранения, дней</t>
        </is>
      </c>
      <c r="B7" s="6" t="n">
        <v>1095</v>
      </c>
    </row>
    <row r="8">
      <c r="A8" t="inlineStr">
        <is>
          <t>Число копий (реплики)</t>
        </is>
      </c>
      <c r="B8" s="6" t="n">
        <v>2</v>
      </c>
    </row>
    <row r="9">
      <c r="A9" t="inlineStr">
        <is>
          <t>Индексы и служебные данные, доля</t>
        </is>
      </c>
      <c r="B9" s="6" t="n">
        <v>0.3</v>
      </c>
    </row>
    <row r="10">
      <c r="A10" t="inlineStr">
        <is>
          <t>Пиковый множитель нагрузки</t>
        </is>
      </c>
      <c r="B10" s="6" t="n">
        <v>3</v>
      </c>
    </row>
    <row r="12">
      <c r="A12" s="1" t="inlineStr">
        <is>
          <t>Строк в сутки</t>
        </is>
      </c>
      <c r="B12" s="8">
        <f>B3*B4</f>
        <v/>
      </c>
    </row>
    <row r="13">
      <c r="A13" s="1" t="inlineStr">
        <is>
          <t>Сообщений в секунду (среднее)</t>
        </is>
      </c>
      <c r="B13" s="8">
        <f>ROUND(B3*B4/86400,1)</f>
        <v/>
      </c>
    </row>
    <row r="14">
      <c r="A14" s="1" t="inlineStr">
        <is>
          <t>Сообщений в секунду (пик)</t>
        </is>
      </c>
      <c r="B14" s="8">
        <f>ROUND(B3*B4/86400*B10,1)</f>
        <v/>
      </c>
    </row>
    <row r="15">
      <c r="A15" s="1" t="inlineStr">
        <is>
          <t>Сырые данные в сутки, ГБ</t>
        </is>
      </c>
      <c r="B15" s="8">
        <f>ROUND(B3*B4*B5/1e9,2)</f>
        <v/>
      </c>
    </row>
    <row r="16">
      <c r="A16" s="1" t="inlineStr">
        <is>
          <t>Итого на дисках за срок хранения, ТБ</t>
        </is>
      </c>
      <c r="B16" s="8">
        <f>ROUND(B3*B4*B5*B7*B6*B8*(1+B9)/1e12,2)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3" customWidth="1" min="4" max="4"/>
    <col width="13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40" customHeight="1">
      <c r="A1" s="2" t="inlineStr">
        <is>
          <t>Потребность в масле на машину и по парку. Объёмы и интервалы — ПЛЕЙСХОЛДЕРЫ (оранжевые): заменить данными руководств OEM / рекомендаций FUCHS. Моточасы/год — из модели загрузки (голубые).</t>
        </is>
      </c>
    </row>
    <row r="3">
      <c r="A3" s="4" t="inlineStr">
        <is>
          <t>Класс</t>
        </is>
      </c>
      <c r="B3" s="4" t="inlineStr">
        <is>
          <t>Машин, шт</t>
        </is>
      </c>
      <c r="C3" s="4" t="inlineStr">
        <is>
          <t>Моточасов/год</t>
        </is>
      </c>
      <c r="D3" s="4" t="inlineStr">
        <is>
          <t>Интервал моторного масла, ч</t>
        </is>
      </c>
      <c r="E3" s="4" t="inlineStr">
        <is>
          <t>Заправка моторного масла, л</t>
        </is>
      </c>
      <c r="F3" s="4" t="inlineStr">
        <is>
          <t>Топливо, л/ч</t>
        </is>
      </c>
      <c r="G3" s="4" t="inlineStr">
        <is>
          <t>Долив, доля от топлива</t>
        </is>
      </c>
      <c r="H3" s="4" t="inlineStr">
        <is>
          <t>Интервал гидравлики, ч</t>
        </is>
      </c>
      <c r="I3" s="4" t="inlineStr">
        <is>
          <t>Объём гидросистемы, л</t>
        </is>
      </c>
      <c r="J3" s="4" t="inlineStr">
        <is>
          <t>Замен моторного масла/год</t>
        </is>
      </c>
      <c r="K3" s="4" t="inlineStr">
        <is>
          <t>Моторное масло, л/год</t>
        </is>
      </c>
      <c r="L3" s="4" t="inlineStr">
        <is>
          <t>Гидравлическое масло, л/год</t>
        </is>
      </c>
      <c r="M3" s="4" t="inlineStr">
        <is>
          <t>Итого на машину, л/год</t>
        </is>
      </c>
      <c r="N3" s="4" t="inlineStr">
        <is>
          <t>Итого по классу, л/год</t>
        </is>
      </c>
    </row>
    <row r="4">
      <c r="A4" t="inlineStr">
        <is>
          <t>Трактор (J1939)</t>
        </is>
      </c>
      <c r="B4" s="6" t="n">
        <v>100</v>
      </c>
      <c r="C4" s="7" t="n">
        <v>1460</v>
      </c>
      <c r="D4" s="9" t="n">
        <v>500</v>
      </c>
      <c r="E4" s="9" t="n">
        <v>30</v>
      </c>
      <c r="F4" s="9" t="n">
        <v>20</v>
      </c>
      <c r="G4" s="6" t="n">
        <v>0.005</v>
      </c>
      <c r="H4" s="9" t="n">
        <v>2000</v>
      </c>
      <c r="I4" s="9" t="n">
        <v>80</v>
      </c>
      <c r="J4" s="8">
        <f>ROUND(C4/D4,2)</f>
        <v/>
      </c>
      <c r="K4" s="8">
        <f>ROUND(J4*E4+C4*F4*G4,0)</f>
        <v/>
      </c>
      <c r="L4" s="8">
        <f>ROUND(C4/H4*I4,0)</f>
        <v/>
      </c>
      <c r="M4" s="8">
        <f>K4+L4</f>
        <v/>
      </c>
      <c r="N4" s="8">
        <f>M4*B4</f>
        <v/>
      </c>
    </row>
    <row r="5">
      <c r="A5" t="inlineStr">
        <is>
          <t>Трактор старого парка</t>
        </is>
      </c>
      <c r="B5" s="6" t="n">
        <v>100</v>
      </c>
      <c r="C5" s="7" t="n">
        <v>1460</v>
      </c>
      <c r="D5" s="9" t="n">
        <v>250</v>
      </c>
      <c r="E5" s="9" t="n">
        <v>15</v>
      </c>
      <c r="F5" s="9" t="n">
        <v>9</v>
      </c>
      <c r="G5" s="6" t="n">
        <v>0.005</v>
      </c>
      <c r="H5" s="9" t="n">
        <v>1000</v>
      </c>
      <c r="I5" s="9" t="n">
        <v>30</v>
      </c>
      <c r="J5" s="8">
        <f>ROUND(C5/D5,2)</f>
        <v/>
      </c>
      <c r="K5" s="8">
        <f>ROUND(J5*E5+C5*F5*G5,0)</f>
        <v/>
      </c>
      <c r="L5" s="8">
        <f>ROUND(C5/H5*I5,0)</f>
        <v/>
      </c>
      <c r="M5" s="8">
        <f>K5+L5</f>
        <v/>
      </c>
      <c r="N5" s="8">
        <f>M5*B5</f>
        <v/>
      </c>
    </row>
    <row r="6">
      <c r="A6" t="inlineStr">
        <is>
          <t>Харвестер/форвардер</t>
        </is>
      </c>
      <c r="B6" s="6" t="n">
        <v>20</v>
      </c>
      <c r="C6" s="7" t="n">
        <v>4534</v>
      </c>
      <c r="D6" s="9" t="n">
        <v>500</v>
      </c>
      <c r="E6" s="9" t="n">
        <v>25</v>
      </c>
      <c r="F6" s="9" t="n">
        <v>14</v>
      </c>
      <c r="G6" s="6" t="n">
        <v>0.005</v>
      </c>
      <c r="H6" s="9" t="n">
        <v>2000</v>
      </c>
      <c r="I6" s="9" t="n">
        <v>250</v>
      </c>
      <c r="J6" s="8">
        <f>ROUND(C6/D6,2)</f>
        <v/>
      </c>
      <c r="K6" s="8">
        <f>ROUND(J6*E6+C6*F6*G6,0)</f>
        <v/>
      </c>
      <c r="L6" s="8">
        <f>ROUND(C6/H6*I6,0)</f>
        <v/>
      </c>
      <c r="M6" s="8">
        <f>K6+L6</f>
        <v/>
      </c>
      <c r="N6" s="8">
        <f>M6*B6</f>
        <v/>
      </c>
    </row>
    <row r="7">
      <c r="A7" t="inlineStr">
        <is>
          <t>Карьерный экскаватор</t>
        </is>
      </c>
      <c r="B7" s="6" t="n">
        <v>10</v>
      </c>
      <c r="C7" s="7" t="n">
        <v>6097</v>
      </c>
      <c r="D7" s="9" t="n">
        <v>500</v>
      </c>
      <c r="E7" s="9" t="n">
        <v>40</v>
      </c>
      <c r="F7" s="9" t="n">
        <v>18</v>
      </c>
      <c r="G7" s="6" t="n">
        <v>0.005</v>
      </c>
      <c r="H7" s="9" t="n">
        <v>4000</v>
      </c>
      <c r="I7" s="9" t="n">
        <v>400</v>
      </c>
      <c r="J7" s="8">
        <f>ROUND(C7/D7,2)</f>
        <v/>
      </c>
      <c r="K7" s="8">
        <f>ROUND(J7*E7+C7*F7*G7,0)</f>
        <v/>
      </c>
      <c r="L7" s="8">
        <f>ROUND(C7/H7*I7,0)</f>
        <v/>
      </c>
      <c r="M7" s="8">
        <f>K7+L7</f>
        <v/>
      </c>
      <c r="N7" s="8">
        <f>M7*B7</f>
        <v/>
      </c>
    </row>
    <row r="8">
      <c r="A8" t="inlineStr">
        <is>
          <t>Карьерный самосвал</t>
        </is>
      </c>
      <c r="B8" s="6" t="n">
        <v>20</v>
      </c>
      <c r="C8" s="7" t="n">
        <v>5924</v>
      </c>
      <c r="D8" s="9" t="n">
        <v>500</v>
      </c>
      <c r="E8" s="9" t="n">
        <v>100</v>
      </c>
      <c r="F8" s="9" t="n">
        <v>45</v>
      </c>
      <c r="G8" s="6" t="n">
        <v>0.005</v>
      </c>
      <c r="H8" s="9" t="n">
        <v>4000</v>
      </c>
      <c r="I8" s="9" t="n">
        <v>400</v>
      </c>
      <c r="J8" s="8">
        <f>ROUND(C8/D8,2)</f>
        <v/>
      </c>
      <c r="K8" s="8">
        <f>ROUND(J8*E8+C8*F8*G8,0)</f>
        <v/>
      </c>
      <c r="L8" s="8">
        <f>ROUND(C8/H8*I8,0)</f>
        <v/>
      </c>
      <c r="M8" s="8">
        <f>K8+L8</f>
        <v/>
      </c>
      <c r="N8" s="8">
        <f>M8*B8</f>
        <v/>
      </c>
    </row>
    <row r="9">
      <c r="A9" t="inlineStr">
        <is>
          <t>Лесовоз</t>
        </is>
      </c>
      <c r="B9" s="6" t="n">
        <v>30</v>
      </c>
      <c r="C9" s="7" t="n">
        <v>3074</v>
      </c>
      <c r="D9" s="9" t="n">
        <v>500</v>
      </c>
      <c r="E9" s="9" t="n">
        <v>30</v>
      </c>
      <c r="F9" s="9" t="n">
        <v>20</v>
      </c>
      <c r="G9" s="6" t="n">
        <v>0.005</v>
      </c>
      <c r="H9" s="9" t="n">
        <v>2000</v>
      </c>
      <c r="I9" s="9" t="n">
        <v>150</v>
      </c>
      <c r="J9" s="8">
        <f>ROUND(C9/D9,2)</f>
        <v/>
      </c>
      <c r="K9" s="8">
        <f>ROUND(J9*E9+C9*F9*G9,0)</f>
        <v/>
      </c>
      <c r="L9" s="8">
        <f>ROUND(C9/H9*I9,0)</f>
        <v/>
      </c>
      <c r="M9" s="8">
        <f>K9+L9</f>
        <v/>
      </c>
      <c r="N9" s="8">
        <f>M9*B9</f>
        <v/>
      </c>
    </row>
    <row r="10">
      <c r="A10" s="1" t="inlineStr">
        <is>
          <t>Итого по парку, л/год</t>
        </is>
      </c>
      <c r="B10" s="8">
        <f>SUM(B4:B9)</f>
        <v/>
      </c>
      <c r="N10" s="8">
        <f>SUM(N4:N9)</f>
        <v/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5" t="inlineStr">
        <is>
          <t>Стоимость подключения и владения. Цены трекера/считывателя — ориентиры (лист «Оборудование»); прочее — плейсхолдеры.</t>
        </is>
      </c>
    </row>
    <row r="3">
      <c r="A3" t="inlineStr">
        <is>
          <t>Трекер с CAN, ₽</t>
        </is>
      </c>
      <c r="B3" s="6" t="n">
        <v>17130</v>
      </c>
    </row>
    <row r="4">
      <c r="A4" t="inlineStr">
        <is>
          <t>CAN-считыватель, ₽</t>
        </is>
      </c>
      <c r="B4" s="6" t="n">
        <v>10000</v>
      </c>
    </row>
    <row r="5">
      <c r="A5" t="inlineStr">
        <is>
          <t>Доля машин, где нужен считыватель</t>
        </is>
      </c>
      <c r="B5" s="9" t="n">
        <v>0.5</v>
      </c>
    </row>
    <row r="6">
      <c r="A6" t="inlineStr">
        <is>
          <t>Монтаж, ₽</t>
        </is>
      </c>
      <c r="B6" s="9" t="n">
        <v>5000</v>
      </c>
    </row>
    <row r="7">
      <c r="A7" t="inlineStr">
        <is>
          <t>Антенны, кабели, крепёж, ₽</t>
        </is>
      </c>
      <c r="B7" s="9" t="n">
        <v>1500</v>
      </c>
    </row>
    <row r="8">
      <c r="A8" t="inlineStr">
        <is>
          <t>SIM M2M в месяц, ₽</t>
        </is>
      </c>
      <c r="B8" s="9" t="n">
        <v>150</v>
      </c>
    </row>
    <row r="9">
      <c r="A9" t="inlineStr">
        <is>
          <t>Облако и сопровождение платформы в месяц, ₽ (весь парк)</t>
        </is>
      </c>
      <c r="B9" s="9" t="n">
        <v>250000</v>
      </c>
    </row>
    <row r="10">
      <c r="A10" t="inlineStr">
        <is>
          <t>Парк машин, шт</t>
        </is>
      </c>
      <c r="B10" s="6" t="n">
        <v>1000</v>
      </c>
    </row>
    <row r="11">
      <c r="A11" t="inlineStr">
        <is>
          <t>Поддержка на машину в месяц, ₽</t>
        </is>
      </c>
      <c r="B11" s="9" t="n">
        <v>50</v>
      </c>
    </row>
    <row r="13">
      <c r="A13" s="1" t="inlineStr">
        <is>
          <t>Разовые затраты на машину, ₽</t>
        </is>
      </c>
      <c r="B13" s="8">
        <f>B3+B4*B5+B6+B7</f>
        <v/>
      </c>
    </row>
    <row r="14">
      <c r="A14" s="1" t="inlineStr">
        <is>
          <t>Ежемесячно на машину, ₽</t>
        </is>
      </c>
      <c r="B14" s="8">
        <f>ROUND(B8+B9/B10+B11,0)</f>
        <v/>
      </c>
    </row>
    <row r="15">
      <c r="A15" s="1" t="inlineStr">
        <is>
          <t>Ежегодно на машину, ₽</t>
        </is>
      </c>
      <c r="B15" s="8">
        <f>B14*12</f>
        <v/>
      </c>
    </row>
    <row r="16">
      <c r="A16" s="1" t="inlineStr">
        <is>
          <t>Владение 3 года на машину, ₽</t>
        </is>
      </c>
      <c r="B16" s="8">
        <f>B13+B15*3</f>
        <v/>
      </c>
    </row>
    <row r="17">
      <c r="A17" s="1" t="inlineStr">
        <is>
          <t>Владение 3 года, весь парк, ₽</t>
        </is>
      </c>
      <c r="B17" s="8">
        <f>B16*B10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 ht="45" customHeight="1">
      <c r="A1" s="3" t="inlineStr">
        <is>
          <t>Модель (допущения — docs/simulation-report.md). CAN без значения = зажигание выключено или машина без CAN.</t>
        </is>
      </c>
    </row>
    <row r="2">
      <c r="A2" s="4" t="inlineStr">
        <is>
          <t>Машина</t>
        </is>
      </c>
      <c r="B2" s="4" t="inlineStr">
        <is>
          <t>Моточасов за 7 сут (истина)</t>
        </is>
      </c>
      <c r="C2" s="4" t="inlineStr">
        <is>
          <t>Зажигание, %</t>
        </is>
      </c>
      <c r="D2" s="4" t="inlineStr">
        <is>
          <t>Напряжение, %</t>
        </is>
      </c>
      <c r="E2" s="4" t="inlineStr">
        <is>
          <t>D+, %</t>
        </is>
      </c>
      <c r="F2" s="4" t="inlineStr">
        <is>
          <t>Зажигание: ч на 500 ч</t>
        </is>
      </c>
      <c r="G2" s="4" t="inlineStr">
        <is>
          <t>CAN: записей со значением, %</t>
        </is>
      </c>
      <c r="H2" s="4" t="inlineStr">
        <is>
          <t>CAN: макс. ошибка, ч</t>
        </is>
      </c>
      <c r="I2" s="4" t="inlineStr">
        <is>
          <t>Пробег истинный, км</t>
        </is>
      </c>
      <c r="J2" s="4" t="inlineStr">
        <is>
          <t>GPS 1 Гц без фильтра, км</t>
        </is>
      </c>
      <c r="K2" s="4" t="inlineStr">
        <is>
          <t>GPS 1 Гц с фильтром, км</t>
        </is>
      </c>
      <c r="L2" s="4" t="inlineStr">
        <is>
          <t>По точкам трека, км</t>
        </is>
      </c>
      <c r="M2" s="4" t="inlineStr">
        <is>
          <t>CAN-одометр, км</t>
        </is>
      </c>
    </row>
    <row r="3">
      <c r="A3" s="10" t="inlineStr">
        <is>
          <t>Трактор с электронным двигателем (J1939)</t>
        </is>
      </c>
      <c r="B3" s="10" t="n">
        <v>85.14</v>
      </c>
      <c r="C3" s="10" t="n">
        <v>5.09</v>
      </c>
      <c r="D3" s="10" t="n">
        <v>-0.02</v>
      </c>
      <c r="E3" s="10" t="n">
        <v>-0.02</v>
      </c>
      <c r="F3" s="10" t="n">
        <v>25.5</v>
      </c>
      <c r="G3" s="10" t="n">
        <v>92</v>
      </c>
      <c r="H3" s="10" t="n">
        <v>0.051</v>
      </c>
      <c r="I3" s="10" t="n">
        <v>833.39</v>
      </c>
      <c r="J3" s="10" t="n">
        <v>941.23</v>
      </c>
      <c r="K3" s="10" t="n">
        <v>837.49</v>
      </c>
      <c r="L3" s="10" t="n">
        <v>832.99</v>
      </c>
      <c r="M3" s="10" t="inlineStr">
        <is>
          <t>—</t>
        </is>
      </c>
    </row>
    <row r="4">
      <c r="A4" s="10" t="inlineStr">
        <is>
          <t>Трактор с механическим ТНВД (без CAN)</t>
        </is>
      </c>
      <c r="B4" s="10" t="n">
        <v>68.45</v>
      </c>
      <c r="C4" s="10" t="n">
        <v>4.66</v>
      </c>
      <c r="D4" s="10" t="n">
        <v>-0.06</v>
      </c>
      <c r="E4" s="10" t="n">
        <v>-0.02</v>
      </c>
      <c r="F4" s="10" t="n">
        <v>23.3</v>
      </c>
      <c r="G4" s="10" t="n">
        <v>0</v>
      </c>
      <c r="H4" s="10" t="inlineStr">
        <is>
          <t>—</t>
        </is>
      </c>
      <c r="I4" s="10" t="n">
        <v>660.34</v>
      </c>
      <c r="J4" s="10" t="n">
        <v>789.0599999999999</v>
      </c>
      <c r="K4" s="10" t="n">
        <v>663.71</v>
      </c>
      <c r="L4" s="10" t="n">
        <v>661.0700000000001</v>
      </c>
      <c r="M4" s="10" t="inlineStr">
        <is>
          <t>—</t>
        </is>
      </c>
    </row>
    <row r="5">
      <c r="A5" s="10" t="inlineStr">
        <is>
          <t>Харвестер</t>
        </is>
      </c>
      <c r="B5" s="10" t="n">
        <v>107.54</v>
      </c>
      <c r="C5" s="10" t="n">
        <v>5.67</v>
      </c>
      <c r="D5" s="10" t="n">
        <v>-0.03</v>
      </c>
      <c r="E5" s="10" t="n">
        <v>-0.03</v>
      </c>
      <c r="F5" s="10" t="n">
        <v>28.3</v>
      </c>
      <c r="G5" s="10" t="n">
        <v>70.5</v>
      </c>
      <c r="H5" s="10" t="n">
        <v>0.066</v>
      </c>
      <c r="I5" s="10" t="n">
        <v>31.49</v>
      </c>
      <c r="J5" s="10" t="n">
        <v>794.99</v>
      </c>
      <c r="K5" s="10" t="n">
        <v>13.9</v>
      </c>
      <c r="L5" s="10" t="n">
        <v>38.36</v>
      </c>
      <c r="M5" s="10" t="inlineStr">
        <is>
          <t>—</t>
        </is>
      </c>
    </row>
    <row r="6">
      <c r="A6" s="10" t="inlineStr">
        <is>
          <t>Форвардер</t>
        </is>
      </c>
      <c r="B6" s="10" t="n">
        <v>107.54</v>
      </c>
      <c r="C6" s="10" t="n">
        <v>5.67</v>
      </c>
      <c r="D6" s="10" t="n">
        <v>-0.03</v>
      </c>
      <c r="E6" s="10" t="n">
        <v>-0.03</v>
      </c>
      <c r="F6" s="10" t="n">
        <v>28.3</v>
      </c>
      <c r="G6" s="10" t="n">
        <v>89</v>
      </c>
      <c r="H6" s="10" t="n">
        <v>0.051</v>
      </c>
      <c r="I6" s="10" t="n">
        <v>172.69</v>
      </c>
      <c r="J6" s="10" t="n">
        <v>851.05</v>
      </c>
      <c r="K6" s="10" t="n">
        <v>210.44</v>
      </c>
      <c r="L6" s="10" t="n">
        <v>181.46</v>
      </c>
      <c r="M6" s="10" t="inlineStr">
        <is>
          <t>—</t>
        </is>
      </c>
    </row>
    <row r="7">
      <c r="A7" s="10" t="inlineStr">
        <is>
          <t>Экскаватор 20-50 т</t>
        </is>
      </c>
      <c r="B7" s="10" t="n">
        <v>149.3</v>
      </c>
      <c r="C7" s="10" t="n">
        <v>5.52</v>
      </c>
      <c r="D7" s="10" t="n">
        <v>-0.03</v>
      </c>
      <c r="E7" s="10" t="n">
        <v>-0.03</v>
      </c>
      <c r="F7" s="10" t="n">
        <v>27.6</v>
      </c>
      <c r="G7" s="10" t="n">
        <v>92.2</v>
      </c>
      <c r="H7" s="10" t="n">
        <v>0.051</v>
      </c>
      <c r="I7" s="10" t="n">
        <v>0.98</v>
      </c>
      <c r="J7" s="10" t="n">
        <v>434.39</v>
      </c>
      <c r="K7" s="10" t="n">
        <v>0.18</v>
      </c>
      <c r="L7" s="10" t="n">
        <v>9.9</v>
      </c>
      <c r="M7" s="10" t="inlineStr">
        <is>
          <t>—</t>
        </is>
      </c>
    </row>
    <row r="8">
      <c r="A8" s="10" t="inlineStr">
        <is>
          <t>Карьерный самосвал</t>
        </is>
      </c>
      <c r="B8" s="10" t="n">
        <v>149.3</v>
      </c>
      <c r="C8" s="10" t="n">
        <v>5.52</v>
      </c>
      <c r="D8" s="10" t="n">
        <v>-0.03</v>
      </c>
      <c r="E8" s="10" t="n">
        <v>-0.03</v>
      </c>
      <c r="F8" s="10" t="n">
        <v>27.6</v>
      </c>
      <c r="G8" s="10" t="n">
        <v>98.8</v>
      </c>
      <c r="H8" s="10" t="n">
        <v>0.051</v>
      </c>
      <c r="I8" s="10" t="n">
        <v>2632.41</v>
      </c>
      <c r="J8" s="10" t="n">
        <v>2777.85</v>
      </c>
      <c r="K8" s="10" t="n">
        <v>2620</v>
      </c>
      <c r="L8" s="10" t="n">
        <v>2626.12</v>
      </c>
      <c r="M8" s="10" t="n">
        <v>2685.06</v>
      </c>
    </row>
    <row r="9">
      <c r="A9" s="10" t="inlineStr">
        <is>
          <t>Лесовоз с манипулятором</t>
        </is>
      </c>
      <c r="B9" s="10" t="n">
        <v>79.48999999999999</v>
      </c>
      <c r="C9" s="10" t="n">
        <v>5.04</v>
      </c>
      <c r="D9" s="10" t="n">
        <v>-0.02</v>
      </c>
      <c r="E9" s="10" t="n">
        <v>-0.02</v>
      </c>
      <c r="F9" s="10" t="n">
        <v>25.2</v>
      </c>
      <c r="G9" s="10" t="n">
        <v>89.7</v>
      </c>
      <c r="H9" s="10" t="n">
        <v>0.051</v>
      </c>
      <c r="I9" s="10" t="n">
        <v>2345.77</v>
      </c>
      <c r="J9" s="10" t="n">
        <v>2717.15</v>
      </c>
      <c r="K9" s="10" t="n">
        <v>2321.63</v>
      </c>
      <c r="L9" s="10" t="n">
        <v>2347.57</v>
      </c>
      <c r="M9" s="10" t="n">
        <v>2380.96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Машина</t>
        </is>
      </c>
      <c r="B1" s="4" t="inlineStr">
        <is>
          <t>Онлайн, %</t>
        </is>
      </c>
      <c r="C1" s="4" t="inlineStr">
        <is>
          <t>Точек/сут</t>
        </is>
      </c>
      <c r="D1" s="4" t="inlineStr">
        <is>
          <t>Доставлено за 7 сут, %</t>
        </is>
      </c>
      <c r="E1" s="4" t="inlineStr">
        <is>
          <t>Задержка медиана, ч</t>
        </is>
      </c>
      <c r="F1" s="4" t="inlineStr">
        <is>
          <t>Задержка p95, ч</t>
        </is>
      </c>
      <c r="G1" s="4" t="inlineStr">
        <is>
          <t>Задержка макс, ч</t>
        </is>
      </c>
      <c r="H1" s="4" t="inlineStr">
        <is>
          <t>Макс. точек в архиве</t>
        </is>
      </c>
      <c r="I1" s="4" t="inlineStr">
        <is>
          <t>Суток до переполнения 170 000</t>
        </is>
      </c>
      <c r="J1" s="4" t="inlineStr">
        <is>
          <t>Galileosky МБ/мес</t>
        </is>
      </c>
      <c r="K1" s="4" t="inlineStr">
        <is>
          <t>Wialon IPS МБ/мес</t>
        </is>
      </c>
      <c r="L1" s="4" t="inlineStr">
        <is>
          <t>EGTS МБ/мес</t>
        </is>
      </c>
    </row>
    <row r="2">
      <c r="A2" s="10" t="inlineStr">
        <is>
          <t>Трактор с электронным двигателем (J1939)</t>
        </is>
      </c>
      <c r="B2" s="10" t="n">
        <v>91.5</v>
      </c>
      <c r="C2" s="10" t="n">
        <v>1709</v>
      </c>
      <c r="D2" s="10" t="n">
        <v>100</v>
      </c>
      <c r="E2" s="10" t="n">
        <v>0.01</v>
      </c>
      <c r="F2" s="10" t="n">
        <v>0.06</v>
      </c>
      <c r="G2" s="10" t="n">
        <v>0.46</v>
      </c>
      <c r="H2" s="10" t="n">
        <v>61</v>
      </c>
      <c r="I2" s="10" t="n">
        <v>99</v>
      </c>
      <c r="J2" s="10" t="n">
        <v>3.13</v>
      </c>
      <c r="K2" s="10" t="n">
        <v>8.44</v>
      </c>
      <c r="L2" s="10" t="n">
        <v>4.35</v>
      </c>
    </row>
    <row r="3">
      <c r="A3" s="10" t="inlineStr">
        <is>
          <t>Трактор с механическим ТНВД (без CAN)</t>
        </is>
      </c>
      <c r="B3" s="10" t="n">
        <v>91.5</v>
      </c>
      <c r="C3" s="10" t="n">
        <v>1410</v>
      </c>
      <c r="D3" s="10" t="n">
        <v>100</v>
      </c>
      <c r="E3" s="10" t="n">
        <v>0.01</v>
      </c>
      <c r="F3" s="10" t="n">
        <v>0.05</v>
      </c>
      <c r="G3" s="10" t="n">
        <v>0.46</v>
      </c>
      <c r="H3" s="10" t="n">
        <v>60</v>
      </c>
      <c r="I3" s="10" t="n">
        <v>121</v>
      </c>
      <c r="J3" s="10" t="n">
        <v>1.97</v>
      </c>
      <c r="K3" s="10" t="n">
        <v>5.03</v>
      </c>
      <c r="L3" s="10" t="n">
        <v>3.34</v>
      </c>
    </row>
    <row r="4">
      <c r="A4" s="10" t="inlineStr">
        <is>
          <t>Харвестер</t>
        </is>
      </c>
      <c r="B4" s="10" t="n">
        <v>0</v>
      </c>
      <c r="C4" s="10" t="n">
        <v>334</v>
      </c>
      <c r="D4" s="10" t="n">
        <v>0</v>
      </c>
      <c r="E4" s="10" t="n"/>
      <c r="F4" s="10" t="n"/>
      <c r="G4" s="10" t="n"/>
      <c r="H4" s="10" t="n">
        <v>2337</v>
      </c>
      <c r="I4" s="10" t="n">
        <v>509</v>
      </c>
      <c r="J4" s="10" t="n">
        <v>0.54</v>
      </c>
      <c r="K4" s="10" t="n">
        <v>1.48</v>
      </c>
      <c r="L4" s="10" t="n">
        <v>0.8</v>
      </c>
    </row>
    <row r="5">
      <c r="A5" s="10" t="inlineStr">
        <is>
          <t>Форвардер</t>
        </is>
      </c>
      <c r="B5" s="10" t="n">
        <v>23</v>
      </c>
      <c r="C5" s="10" t="n">
        <v>886</v>
      </c>
      <c r="D5" s="10" t="n">
        <v>98.8</v>
      </c>
      <c r="E5" s="10" t="n">
        <v>0.08</v>
      </c>
      <c r="F5" s="10" t="n">
        <v>4.8</v>
      </c>
      <c r="G5" s="10" t="n">
        <v>28.86</v>
      </c>
      <c r="H5" s="10" t="n">
        <v>381</v>
      </c>
      <c r="I5" s="10" t="n">
        <v>192</v>
      </c>
      <c r="J5" s="10" t="n">
        <v>1.71</v>
      </c>
      <c r="K5" s="10" t="n">
        <v>4.4</v>
      </c>
      <c r="L5" s="10" t="n">
        <v>2.35</v>
      </c>
    </row>
    <row r="6">
      <c r="A6" s="10" t="inlineStr">
        <is>
          <t>Экскаватор 20-50 т</t>
        </is>
      </c>
      <c r="B6" s="10" t="n">
        <v>99</v>
      </c>
      <c r="C6" s="10" t="n">
        <v>298</v>
      </c>
      <c r="D6" s="10" t="n">
        <v>100</v>
      </c>
      <c r="E6" s="10" t="n">
        <v>0</v>
      </c>
      <c r="F6" s="10" t="n">
        <v>0</v>
      </c>
      <c r="G6" s="10" t="n">
        <v>0.11</v>
      </c>
      <c r="H6" s="10" t="n">
        <v>2</v>
      </c>
      <c r="I6" s="10" t="n">
        <v>570</v>
      </c>
      <c r="J6" s="10" t="n">
        <v>0.54</v>
      </c>
      <c r="K6" s="10" t="n">
        <v>1.44</v>
      </c>
      <c r="L6" s="10" t="n">
        <v>0.75</v>
      </c>
    </row>
    <row r="7">
      <c r="A7" s="10" t="inlineStr">
        <is>
          <t>Карьерный самосвал</t>
        </is>
      </c>
      <c r="B7" s="10" t="n">
        <v>99</v>
      </c>
      <c r="C7" s="10" t="n">
        <v>1943</v>
      </c>
      <c r="D7" s="10" t="n">
        <v>100</v>
      </c>
      <c r="E7" s="10" t="n">
        <v>0.01</v>
      </c>
      <c r="F7" s="10" t="n">
        <v>0.02</v>
      </c>
      <c r="G7" s="10" t="n">
        <v>0.19</v>
      </c>
      <c r="H7" s="10" t="n">
        <v>18</v>
      </c>
      <c r="I7" s="10" t="n">
        <v>88</v>
      </c>
      <c r="J7" s="10" t="n">
        <v>3.78</v>
      </c>
      <c r="K7" s="10" t="n">
        <v>10.94</v>
      </c>
      <c r="L7" s="10" t="n">
        <v>5.2</v>
      </c>
    </row>
    <row r="8">
      <c r="A8" s="10" t="inlineStr">
        <is>
          <t>Лесовоз с манипулятором</t>
        </is>
      </c>
      <c r="B8" s="10" t="n">
        <v>42.8</v>
      </c>
      <c r="C8" s="10" t="n">
        <v>1428</v>
      </c>
      <c r="D8" s="10" t="n">
        <v>98.3</v>
      </c>
      <c r="E8" s="10" t="n">
        <v>0.01</v>
      </c>
      <c r="F8" s="10" t="n">
        <v>6.79</v>
      </c>
      <c r="G8" s="10" t="n">
        <v>36.18</v>
      </c>
      <c r="H8" s="10" t="n">
        <v>571</v>
      </c>
      <c r="I8" s="10" t="n">
        <v>119</v>
      </c>
      <c r="J8" s="10" t="n">
        <v>2.73</v>
      </c>
      <c r="K8" s="10" t="n">
        <v>7.79</v>
      </c>
      <c r="L8" s="10" t="n">
        <v>3.8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6" customWidth="1" min="10" max="10"/>
  </cols>
  <sheetData>
    <row r="1">
      <c r="A1" s="4" t="inlineStr">
        <is>
          <t>Класс</t>
        </is>
      </c>
      <c r="B1" s="4" t="inlineStr">
        <is>
          <t>Интервал, ч</t>
        </is>
      </c>
      <c r="C1" s="4" t="inlineStr">
        <is>
          <t>Моточасов/год</t>
        </is>
      </c>
      <c r="D1" s="4" t="inlineStr">
        <is>
          <t>Замен за 4 года</t>
        </is>
      </c>
      <c r="E1" s="4" t="inlineStr">
        <is>
          <t>Упреждение, дн</t>
        </is>
      </c>
      <c r="F1" s="4" t="inlineStr">
        <is>
          <t>Среднее 28 дн: MAE</t>
        </is>
      </c>
      <c r="G1" s="4" t="inlineStr">
        <is>
          <t>Среднее 28 дн: P90</t>
        </is>
      </c>
      <c r="H1" s="4" t="inlineStr">
        <is>
          <t>EWMA: MAE</t>
        </is>
      </c>
      <c r="I1" s="4" t="inlineStr">
        <is>
          <t>Сезонный: MAE</t>
        </is>
      </c>
      <c r="J1" s="4" t="inlineStr">
        <is>
          <t>Доля прогнозов «позже факта»</t>
        </is>
      </c>
    </row>
    <row r="2">
      <c r="A2" s="10" t="inlineStr">
        <is>
          <t>Трактор (юг, полевые работы)</t>
        </is>
      </c>
      <c r="B2" s="10" t="n">
        <v>250</v>
      </c>
      <c r="C2" s="10" t="n">
        <v>1460</v>
      </c>
      <c r="D2" s="10" t="n">
        <v>23</v>
      </c>
      <c r="E2" s="10" t="n">
        <v>30</v>
      </c>
      <c r="F2" s="10" t="n">
        <v>66.09999999999999</v>
      </c>
      <c r="G2" s="10" t="n">
        <v>299</v>
      </c>
      <c r="H2" s="10" t="n">
        <v>51.7</v>
      </c>
      <c r="I2" s="10" t="n">
        <v>20.6</v>
      </c>
      <c r="J2" s="10" t="n">
        <v>0.83</v>
      </c>
    </row>
    <row r="3">
      <c r="A3" s="10" t="inlineStr">
        <is>
          <t>Трактор (юг, полевые работы)</t>
        </is>
      </c>
      <c r="B3" s="10" t="n">
        <v>250</v>
      </c>
      <c r="C3" s="10" t="n">
        <v>1460</v>
      </c>
      <c r="D3" s="10" t="n">
        <v>23</v>
      </c>
      <c r="E3" s="10" t="n">
        <v>14</v>
      </c>
      <c r="F3" s="10" t="n">
        <v>8</v>
      </c>
      <c r="G3" s="10" t="n">
        <v>32</v>
      </c>
      <c r="H3" s="10" t="n">
        <v>5.3</v>
      </c>
      <c r="I3" s="10" t="n">
        <v>3.1</v>
      </c>
      <c r="J3" s="10" t="n">
        <v>0.61</v>
      </c>
    </row>
    <row r="4">
      <c r="A4" s="10" t="inlineStr">
        <is>
          <t>Трактор (юг, полевые работы)</t>
        </is>
      </c>
      <c r="B4" s="10" t="n">
        <v>250</v>
      </c>
      <c r="C4" s="10" t="n">
        <v>1460</v>
      </c>
      <c r="D4" s="10" t="n">
        <v>23</v>
      </c>
      <c r="E4" s="10" t="n">
        <v>7</v>
      </c>
      <c r="F4" s="10" t="n">
        <v>3.7</v>
      </c>
      <c r="G4" s="10" t="n">
        <v>4</v>
      </c>
      <c r="H4" s="10" t="n">
        <v>3.3</v>
      </c>
      <c r="I4" s="10" t="n">
        <v>1.3</v>
      </c>
      <c r="J4" s="10" t="n">
        <v>0.57</v>
      </c>
    </row>
    <row r="5">
      <c r="A5" s="10" t="inlineStr">
        <is>
          <t>Трактор (юг, полевые работы)</t>
        </is>
      </c>
      <c r="B5" s="10" t="n">
        <v>500</v>
      </c>
      <c r="C5" s="10" t="n">
        <v>1460</v>
      </c>
      <c r="D5" s="10" t="n">
        <v>11</v>
      </c>
      <c r="E5" s="10" t="n">
        <v>30</v>
      </c>
      <c r="F5" s="10" t="n">
        <v>66.40000000000001</v>
      </c>
      <c r="G5" s="10" t="n">
        <v>299</v>
      </c>
      <c r="H5" s="10" t="n">
        <v>53.8</v>
      </c>
      <c r="I5" s="10" t="n">
        <v>18.5</v>
      </c>
      <c r="J5" s="10" t="n">
        <v>0.73</v>
      </c>
    </row>
    <row r="6">
      <c r="A6" s="10" t="inlineStr">
        <is>
          <t>Трактор (юг, полевые работы)</t>
        </is>
      </c>
      <c r="B6" s="10" t="n">
        <v>500</v>
      </c>
      <c r="C6" s="10" t="n">
        <v>1460</v>
      </c>
      <c r="D6" s="10" t="n">
        <v>11</v>
      </c>
      <c r="E6" s="10" t="n">
        <v>14</v>
      </c>
      <c r="F6" s="10" t="n">
        <v>12.5</v>
      </c>
      <c r="G6" s="10" t="n">
        <v>34</v>
      </c>
      <c r="H6" s="10" t="n">
        <v>8.1</v>
      </c>
      <c r="I6" s="10" t="n">
        <v>3.4</v>
      </c>
      <c r="J6" s="10" t="n">
        <v>0.55</v>
      </c>
    </row>
    <row r="7">
      <c r="A7" s="10" t="inlineStr">
        <is>
          <t>Трактор (юг, полевые работы)</t>
        </is>
      </c>
      <c r="B7" s="10" t="n">
        <v>500</v>
      </c>
      <c r="C7" s="10" t="n">
        <v>1460</v>
      </c>
      <c r="D7" s="10" t="n">
        <v>11</v>
      </c>
      <c r="E7" s="10" t="n">
        <v>7</v>
      </c>
      <c r="F7" s="10" t="n">
        <v>6.2</v>
      </c>
      <c r="G7" s="10" t="n">
        <v>17</v>
      </c>
      <c r="H7" s="10" t="n">
        <v>5</v>
      </c>
      <c r="I7" s="10" t="n">
        <v>1.5</v>
      </c>
      <c r="J7" s="10" t="n">
        <v>0.55</v>
      </c>
    </row>
    <row r="8">
      <c r="A8" s="10" t="inlineStr">
        <is>
          <t>Харвестер/форвардер (2 смены)</t>
        </is>
      </c>
      <c r="B8" s="10" t="n">
        <v>500</v>
      </c>
      <c r="C8" s="10" t="n">
        <v>4534</v>
      </c>
      <c r="D8" s="10" t="n">
        <v>36</v>
      </c>
      <c r="E8" s="10" t="n">
        <v>30</v>
      </c>
      <c r="F8" s="10" t="n">
        <v>16.1</v>
      </c>
      <c r="G8" s="10" t="n">
        <v>27</v>
      </c>
      <c r="H8" s="10" t="n">
        <v>14.7</v>
      </c>
      <c r="I8" s="10" t="n">
        <v>5.3</v>
      </c>
      <c r="J8" s="10" t="n">
        <v>0.62</v>
      </c>
    </row>
    <row r="9">
      <c r="A9" s="10" t="inlineStr">
        <is>
          <t>Харвестер/форвардер (2 смены)</t>
        </is>
      </c>
      <c r="B9" s="10" t="n">
        <v>500</v>
      </c>
      <c r="C9" s="10" t="n">
        <v>4534</v>
      </c>
      <c r="D9" s="10" t="n">
        <v>36</v>
      </c>
      <c r="E9" s="10" t="n">
        <v>14</v>
      </c>
      <c r="F9" s="10" t="n">
        <v>2.8</v>
      </c>
      <c r="G9" s="10" t="n">
        <v>7</v>
      </c>
      <c r="H9" s="10" t="n">
        <v>2.9</v>
      </c>
      <c r="I9" s="10" t="n">
        <v>2.2</v>
      </c>
      <c r="J9" s="10" t="n">
        <v>0.41</v>
      </c>
    </row>
    <row r="10">
      <c r="A10" s="10" t="inlineStr">
        <is>
          <t>Харвестер/форвардер (2 смены)</t>
        </is>
      </c>
      <c r="B10" s="10" t="n">
        <v>500</v>
      </c>
      <c r="C10" s="10" t="n">
        <v>4534</v>
      </c>
      <c r="D10" s="10" t="n">
        <v>36</v>
      </c>
      <c r="E10" s="10" t="n">
        <v>7</v>
      </c>
      <c r="F10" s="10" t="n">
        <v>1.9</v>
      </c>
      <c r="G10" s="10" t="n">
        <v>3</v>
      </c>
      <c r="H10" s="10" t="n">
        <v>2.5</v>
      </c>
      <c r="I10" s="10" t="n">
        <v>1.8</v>
      </c>
      <c r="J10" s="10" t="n">
        <v>0.47</v>
      </c>
    </row>
    <row r="11">
      <c r="A11" s="10" t="inlineStr">
        <is>
          <t>Карьерный экскаватор (2 смены)</t>
        </is>
      </c>
      <c r="B11" s="10" t="n">
        <v>500</v>
      </c>
      <c r="C11" s="10" t="n">
        <v>6097</v>
      </c>
      <c r="D11" s="10" t="n">
        <v>48</v>
      </c>
      <c r="E11" s="10" t="n">
        <v>30</v>
      </c>
      <c r="F11" s="10" t="n">
        <v>1.9</v>
      </c>
      <c r="G11" s="10" t="n">
        <v>4</v>
      </c>
      <c r="H11" s="10" t="n">
        <v>2.3</v>
      </c>
      <c r="I11" s="10" t="n">
        <v>1.7</v>
      </c>
      <c r="J11" s="10" t="n">
        <v>0.43</v>
      </c>
    </row>
    <row r="12">
      <c r="A12" s="10" t="inlineStr">
        <is>
          <t>Карьерный экскаватор (2 смены)</t>
        </is>
      </c>
      <c r="B12" s="10" t="n">
        <v>500</v>
      </c>
      <c r="C12" s="10" t="n">
        <v>6097</v>
      </c>
      <c r="D12" s="10" t="n">
        <v>48</v>
      </c>
      <c r="E12" s="10" t="n">
        <v>14</v>
      </c>
      <c r="F12" s="10" t="n">
        <v>1.3</v>
      </c>
      <c r="G12" s="10" t="n">
        <v>3</v>
      </c>
      <c r="H12" s="10" t="n">
        <v>1.6</v>
      </c>
      <c r="I12" s="10" t="n">
        <v>1</v>
      </c>
      <c r="J12" s="10" t="n">
        <v>0.52</v>
      </c>
    </row>
    <row r="13">
      <c r="A13" s="10" t="inlineStr">
        <is>
          <t>Карьерный экскаватор (2 смены)</t>
        </is>
      </c>
      <c r="B13" s="10" t="n">
        <v>500</v>
      </c>
      <c r="C13" s="10" t="n">
        <v>6097</v>
      </c>
      <c r="D13" s="10" t="n">
        <v>48</v>
      </c>
      <c r="E13" s="10" t="n">
        <v>7</v>
      </c>
      <c r="F13" s="10" t="n">
        <v>0.8</v>
      </c>
      <c r="G13" s="10" t="n">
        <v>2</v>
      </c>
      <c r="H13" s="10" t="n">
        <v>0.8</v>
      </c>
      <c r="I13" s="10" t="n">
        <v>0.8</v>
      </c>
      <c r="J13" s="10" t="n">
        <v>0.37</v>
      </c>
    </row>
    <row r="14">
      <c r="A14" s="10" t="inlineStr">
        <is>
          <t>Карьерный самосвал (2 смены)</t>
        </is>
      </c>
      <c r="B14" s="10" t="n">
        <v>500</v>
      </c>
      <c r="C14" s="10" t="n">
        <v>5924</v>
      </c>
      <c r="D14" s="10" t="n">
        <v>47</v>
      </c>
      <c r="E14" s="10" t="n">
        <v>30</v>
      </c>
      <c r="F14" s="10" t="n">
        <v>2.8</v>
      </c>
      <c r="G14" s="10" t="n">
        <v>6</v>
      </c>
      <c r="H14" s="10" t="n">
        <v>3</v>
      </c>
      <c r="I14" s="10" t="n">
        <v>2.5</v>
      </c>
      <c r="J14" s="10" t="n">
        <v>0.47</v>
      </c>
    </row>
    <row r="15">
      <c r="A15" s="10" t="inlineStr">
        <is>
          <t>Карьерный самосвал (2 смены)</t>
        </is>
      </c>
      <c r="B15" s="10" t="n">
        <v>500</v>
      </c>
      <c r="C15" s="10" t="n">
        <v>5924</v>
      </c>
      <c r="D15" s="10" t="n">
        <v>47</v>
      </c>
      <c r="E15" s="10" t="n">
        <v>14</v>
      </c>
      <c r="F15" s="10" t="n">
        <v>1.5</v>
      </c>
      <c r="G15" s="10" t="n">
        <v>3</v>
      </c>
      <c r="H15" s="10" t="n">
        <v>1.4</v>
      </c>
      <c r="I15" s="10" t="n">
        <v>1.3</v>
      </c>
      <c r="J15" s="10" t="n">
        <v>0.42</v>
      </c>
    </row>
    <row r="16">
      <c r="A16" s="10" t="inlineStr">
        <is>
          <t>Карьерный самосвал (2 смены)</t>
        </is>
      </c>
      <c r="B16" s="10" t="n">
        <v>500</v>
      </c>
      <c r="C16" s="10" t="n">
        <v>5924</v>
      </c>
      <c r="D16" s="10" t="n">
        <v>47</v>
      </c>
      <c r="E16" s="10" t="n">
        <v>7</v>
      </c>
      <c r="F16" s="10" t="n">
        <v>0.8</v>
      </c>
      <c r="G16" s="10" t="n">
        <v>2</v>
      </c>
      <c r="H16" s="10" t="n">
        <v>0.9</v>
      </c>
      <c r="I16" s="10" t="n">
        <v>0.8</v>
      </c>
      <c r="J16" s="10" t="n">
        <v>0.35</v>
      </c>
    </row>
    <row r="17">
      <c r="A17" s="10" t="inlineStr">
        <is>
          <t>Лесовоз (зимник + лето)</t>
        </is>
      </c>
      <c r="B17" s="10" t="n">
        <v>500</v>
      </c>
      <c r="C17" s="10" t="n">
        <v>3074</v>
      </c>
      <c r="D17" s="10" t="n">
        <v>24</v>
      </c>
      <c r="E17" s="10" t="n">
        <v>30</v>
      </c>
      <c r="F17" s="10" t="n">
        <v>7.2</v>
      </c>
      <c r="G17" s="10" t="n">
        <v>20</v>
      </c>
      <c r="H17" s="10" t="n">
        <v>6.5</v>
      </c>
      <c r="I17" s="10" t="n">
        <v>5.1</v>
      </c>
      <c r="J17" s="10" t="n">
        <v>0.7</v>
      </c>
    </row>
    <row r="18">
      <c r="A18" s="10" t="inlineStr">
        <is>
          <t>Лесовоз (зимник + лето)</t>
        </is>
      </c>
      <c r="B18" s="10" t="n">
        <v>500</v>
      </c>
      <c r="C18" s="10" t="n">
        <v>3074</v>
      </c>
      <c r="D18" s="10" t="n">
        <v>24</v>
      </c>
      <c r="E18" s="10" t="n">
        <v>14</v>
      </c>
      <c r="F18" s="10" t="n">
        <v>4.4</v>
      </c>
      <c r="G18" s="10" t="n">
        <v>8</v>
      </c>
      <c r="H18" s="10" t="n">
        <v>3.9</v>
      </c>
      <c r="I18" s="10" t="n">
        <v>3.1</v>
      </c>
      <c r="J18" s="10" t="n">
        <v>0.43</v>
      </c>
    </row>
    <row r="19">
      <c r="A19" s="10" t="inlineStr">
        <is>
          <t>Лесовоз (зимник + лето)</t>
        </is>
      </c>
      <c r="B19" s="10" t="n">
        <v>500</v>
      </c>
      <c r="C19" s="10" t="n">
        <v>3074</v>
      </c>
      <c r="D19" s="10" t="n">
        <v>24</v>
      </c>
      <c r="E19" s="10" t="n">
        <v>7</v>
      </c>
      <c r="F19" s="10" t="n">
        <v>3.5</v>
      </c>
      <c r="G19" s="10" t="n">
        <v>5</v>
      </c>
      <c r="H19" s="10" t="n">
        <v>2.8</v>
      </c>
      <c r="I19" s="10" t="n">
        <v>2.9</v>
      </c>
      <c r="J19" s="10" t="n">
        <v>0.48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4" t="inlineStr">
        <is>
          <t>Вариант</t>
        </is>
      </c>
      <c r="B1" s="4" t="inlineStr">
        <is>
          <t>Результат</t>
        </is>
      </c>
    </row>
    <row r="2">
      <c r="A2" s="10" t="inlineStr">
        <is>
          <t>harvester_no_active_request</t>
        </is>
      </c>
      <c r="B2" s="10" t="inlineStr">
        <is>
          <t>{"records_with_can_hours_pct": 0.0}</t>
        </is>
      </c>
    </row>
    <row r="3">
      <c r="A3" s="10" t="inlineStr">
        <is>
          <t>tractor_24v_threshold_set_for_12v</t>
        </is>
      </c>
      <c r="B3" s="10" t="inlineStr">
        <is>
          <t>{"true_h": 42.19, "voltage_method_h": 72.0, "error_pct": 70.7}</t>
        </is>
      </c>
    </row>
    <row r="4">
      <c r="A4" s="10" t="inlineStr">
        <is>
          <t>harvester_min_speed_1.5</t>
        </is>
      </c>
      <c r="B4" s="10" t="inlineStr">
        <is>
          <t>{"true_km": 15.98, "gps_1hz_filtered_km": 46.16}</t>
        </is>
      </c>
    </row>
    <row r="5">
      <c r="A5" s="10" t="inlineStr">
        <is>
          <t>harvester_min_speed_3.0</t>
        </is>
      </c>
      <c r="B5" s="10" t="inlineStr">
        <is>
          <t>{"true_km": 15.98, "gps_1hz_filtered_km": 7.47}</t>
        </is>
      </c>
    </row>
    <row r="6">
      <c r="A6" s="10" t="inlineStr">
        <is>
          <t>harvester_min_speed_5.0</t>
        </is>
      </c>
      <c r="B6" s="10" t="inlineStr">
        <is>
          <t>{"true_km": 15.98, "gps_1hz_filtered_km": 0.0}</t>
        </is>
      </c>
    </row>
    <row r="7">
      <c r="A7" s="10" t="inlineStr">
        <is>
          <t>excavator_min_speed_1.5</t>
        </is>
      </c>
      <c r="B7" s="10" t="inlineStr">
        <is>
          <t>{"true_km": 0.39, "gps_1hz_filtered_km": 3.21}</t>
        </is>
      </c>
    </row>
    <row r="8">
      <c r="A8" s="10" t="inlineStr">
        <is>
          <t>excavator_min_speed_3.0</t>
        </is>
      </c>
      <c r="B8" s="10" t="inlineStr">
        <is>
          <t>{"true_km": 0.39, "gps_1hz_filtered_km": 0.08}</t>
        </is>
      </c>
    </row>
    <row r="9">
      <c r="A9" s="10" t="inlineStr">
        <is>
          <t>excavator_min_speed_5.0</t>
        </is>
      </c>
      <c r="B9" s="10" t="inlineStr">
        <is>
          <t>{"true_km": 0.39, "gps_1hz_filtered_km": 0.0}</t>
        </is>
      </c>
    </row>
    <row r="10">
      <c r="A10" s="10" t="inlineStr">
        <is>
          <t>forwarder_min_speed_1.5</t>
        </is>
      </c>
      <c r="B10" s="10" t="inlineStr">
        <is>
          <t>{"true_km": 85.7, "gps_1hz_filtered_km": 118.59}</t>
        </is>
      </c>
    </row>
    <row r="11">
      <c r="A11" s="10" t="inlineStr">
        <is>
          <t>forwarder_min_speed_3.0</t>
        </is>
      </c>
      <c r="B11" s="10" t="inlineStr">
        <is>
          <t>{"true_km": 85.7, "gps_1hz_filtered_km": 103.93}</t>
        </is>
      </c>
    </row>
    <row r="12">
      <c r="A12" s="10" t="inlineStr">
        <is>
          <t>forwarder_min_speed_5.0</t>
        </is>
      </c>
      <c r="B12" s="10" t="inlineStr">
        <is>
          <t>{"true_km": 85.7, "gps_1hz_filtered_km": 86.09}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4" customWidth="1" min="10" max="10"/>
    <col width="20" customWidth="1" min="11" max="11"/>
    <col width="9" customWidth="1" min="12" max="12"/>
  </cols>
  <sheetData>
    <row r="1" ht="45" customHeight="1">
      <c r="A1" s="3" t="inlineStr">
        <is>
          <t>Сквозной прогон: эмуляторы → TCP → Traccar 6.15.3 → JSON → нормализация; потери пересылки восстановлены сверкой с БД шлюза.</t>
        </is>
      </c>
    </row>
    <row r="2">
      <c r="A2" s="4" t="inlineStr">
        <is>
          <t>Машина</t>
        </is>
      </c>
      <c r="B2" s="4" t="inlineStr">
        <is>
          <t>Протокол</t>
        </is>
      </c>
      <c r="C2" s="4" t="inlineStr">
        <is>
          <t>Моточасы</t>
        </is>
      </c>
      <c r="D2" s="4" t="inlineStr">
        <is>
          <t>Отправлено</t>
        </is>
      </c>
      <c r="E2" s="4" t="inlineStr">
        <is>
          <t>Сохранено Traccar</t>
        </is>
      </c>
      <c r="F2" s="4" t="inlineStr">
        <is>
          <t>Пришло пересылкой</t>
        </is>
      </c>
      <c r="G2" s="4" t="inlineStr">
        <is>
          <t>После сверки</t>
        </is>
      </c>
      <c r="H2" s="4" t="inlineStr">
        <is>
          <t>Совпало с отправленным</t>
        </is>
      </c>
      <c r="I2" s="4" t="inlineStr">
        <is>
          <t>Макс. ошибка координат, °</t>
        </is>
      </c>
      <c r="J2" s="4" t="inlineStr">
        <is>
          <t>Макс. ошибка моточасов vs отправлено, ч</t>
        </is>
      </c>
      <c r="K2" s="4" t="inlineStr">
        <is>
          <t>Ошибка моточасов vs истина [мин, макс], ч</t>
        </is>
      </c>
      <c r="L2" s="4" t="inlineStr">
        <is>
          <t>Пройдено</t>
        </is>
      </c>
    </row>
    <row r="3">
      <c r="A3" s="10" t="inlineStr">
        <is>
          <t>Трактор с электронным двигателем (J1939)</t>
        </is>
      </c>
      <c r="B3" s="10" t="inlineStr">
        <is>
          <t>galileosky</t>
        </is>
      </c>
      <c r="C3" s="10" t="inlineStr">
        <is>
          <t>can</t>
        </is>
      </c>
      <c r="D3" s="10" t="n">
        <v>3886</v>
      </c>
      <c r="E3" s="10" t="n">
        <v>3886</v>
      </c>
      <c r="F3" s="10" t="n">
        <v>3590</v>
      </c>
      <c r="G3" s="10" t="n">
        <v>3886</v>
      </c>
      <c r="H3" s="10" t="n">
        <v>3886</v>
      </c>
      <c r="I3" s="10" t="n">
        <v>4.999568119501419e-07</v>
      </c>
      <c r="J3" s="10" t="n">
        <v>4.547473508864641e-13</v>
      </c>
      <c r="K3" s="10" t="inlineStr">
        <is>
          <t>[-0.05111111111091304, 0.0]</t>
        </is>
      </c>
      <c r="L3" s="10" t="inlineStr">
        <is>
          <t>да</t>
        </is>
      </c>
    </row>
    <row r="4">
      <c r="A4" s="10" t="inlineStr">
        <is>
          <t>Харвестер</t>
        </is>
      </c>
      <c r="B4" s="10" t="inlineStr">
        <is>
          <t>galileosky</t>
        </is>
      </c>
      <c r="C4" s="10" t="inlineStr">
        <is>
          <t>can</t>
        </is>
      </c>
      <c r="D4" s="10" t="n">
        <v>704</v>
      </c>
      <c r="E4" s="10" t="n">
        <v>704</v>
      </c>
      <c r="F4" s="10" t="n">
        <v>704</v>
      </c>
      <c r="G4" s="10" t="n">
        <v>704</v>
      </c>
      <c r="H4" s="10" t="n">
        <v>704</v>
      </c>
      <c r="I4" s="10" t="n">
        <v>4.999140799100132e-07</v>
      </c>
      <c r="J4" s="10" t="n">
        <v>4.547473508864641e-13</v>
      </c>
      <c r="K4" s="10" t="inlineStr">
        <is>
          <t>[-0.06416666666655146, -0.0002777777776827861]</t>
        </is>
      </c>
      <c r="L4" s="10" t="inlineStr">
        <is>
          <t>да</t>
        </is>
      </c>
    </row>
    <row r="5">
      <c r="A5" s="10" t="inlineStr">
        <is>
          <t>Форвардер</t>
        </is>
      </c>
      <c r="B5" s="10" t="inlineStr">
        <is>
          <t>galileosky</t>
        </is>
      </c>
      <c r="C5" s="10" t="inlineStr">
        <is>
          <t>can</t>
        </is>
      </c>
      <c r="D5" s="10" t="n">
        <v>1991</v>
      </c>
      <c r="E5" s="10" t="n">
        <v>1991</v>
      </c>
      <c r="F5" s="10" t="n">
        <v>1681</v>
      </c>
      <c r="G5" s="10" t="n">
        <v>1991</v>
      </c>
      <c r="H5" s="10" t="n">
        <v>1991</v>
      </c>
      <c r="I5" s="10" t="n">
        <v>4.997797660166725e-07</v>
      </c>
      <c r="J5" s="10" t="n">
        <v>4.547473508864641e-13</v>
      </c>
      <c r="K5" s="10" t="inlineStr">
        <is>
          <t>[-0.050833333333685005, 0.0]</t>
        </is>
      </c>
      <c r="L5" s="10" t="inlineStr">
        <is>
          <t>да</t>
        </is>
      </c>
    </row>
    <row r="6">
      <c r="A6" s="10" t="inlineStr">
        <is>
          <t>Экскаватор 20-50 т</t>
        </is>
      </c>
      <c r="B6" s="10" t="inlineStr">
        <is>
          <t>wialon</t>
        </is>
      </c>
      <c r="C6" s="10" t="inlineStr">
        <is>
          <t>can</t>
        </is>
      </c>
      <c r="D6" s="10" t="n">
        <v>595</v>
      </c>
      <c r="E6" s="10" t="n">
        <v>595</v>
      </c>
      <c r="F6" s="10" t="n">
        <v>242</v>
      </c>
      <c r="G6" s="10" t="n">
        <v>595</v>
      </c>
      <c r="H6" s="10" t="n">
        <v>595</v>
      </c>
      <c r="I6" s="10" t="n">
        <v>8.307940646545831e-08</v>
      </c>
      <c r="J6" s="10" t="n">
        <v>4.547473508864641e-13</v>
      </c>
      <c r="K6" s="10" t="inlineStr">
        <is>
          <t>[-0.05055555555554747, -0.0002777777776827861]</t>
        </is>
      </c>
      <c r="L6" s="10" t="inlineStr">
        <is>
          <t>да</t>
        </is>
      </c>
    </row>
    <row r="7">
      <c r="A7" s="10" t="inlineStr">
        <is>
          <t>Трактор с механическим ТНВД (без CAN)</t>
        </is>
      </c>
      <c r="B7" s="10" t="inlineStr">
        <is>
          <t>wialon</t>
        </is>
      </c>
      <c r="C7" s="10" t="inlineStr">
        <is>
          <t>voltage</t>
        </is>
      </c>
      <c r="D7" s="10" t="n">
        <v>3154</v>
      </c>
      <c r="E7" s="10" t="n">
        <v>3154</v>
      </c>
      <c r="F7" s="10" t="n">
        <v>1133</v>
      </c>
      <c r="G7" s="10" t="n">
        <v>3154</v>
      </c>
      <c r="H7" s="10" t="n">
        <v>3154</v>
      </c>
      <c r="I7" s="10" t="n">
        <v>8.332064993510357e-08</v>
      </c>
      <c r="J7" s="10" t="n">
        <v>0.004999999999199645</v>
      </c>
      <c r="K7" s="10" t="inlineStr">
        <is>
          <t>[-0.024999999999636202, 0.0030555555549653945]</t>
        </is>
      </c>
      <c r="L7" s="10" t="inlineStr">
        <is>
          <t>да</t>
        </is>
      </c>
    </row>
    <row r="8">
      <c r="A8" s="10" t="inlineStr">
        <is>
          <t>Лесовоз с манипулятором</t>
        </is>
      </c>
      <c r="B8" s="10" t="inlineStr">
        <is>
          <t>wialon</t>
        </is>
      </c>
      <c r="C8" s="10" t="inlineStr">
        <is>
          <t>can</t>
        </is>
      </c>
      <c r="D8" s="10" t="n">
        <v>3264</v>
      </c>
      <c r="E8" s="10" t="n">
        <v>3264</v>
      </c>
      <c r="F8" s="10" t="n">
        <v>2677</v>
      </c>
      <c r="G8" s="10" t="n">
        <v>3264</v>
      </c>
      <c r="H8" s="10" t="n">
        <v>3264</v>
      </c>
      <c r="I8" s="10" t="n">
        <v>8.333098833190888e-08</v>
      </c>
      <c r="J8" s="10" t="n">
        <v>4.547473508864641e-13</v>
      </c>
      <c r="K8" s="10" t="inlineStr">
        <is>
          <t>[-0.050833333333685005, 0.0]</t>
        </is>
      </c>
      <c r="L8" s="10" t="inlineStr">
        <is>
          <t>да</t>
        </is>
      </c>
    </row>
    <row r="9">
      <c r="A9" s="10" t="inlineStr">
        <is>
          <t>Карьерный самосвал</t>
        </is>
      </c>
      <c r="B9" s="10" t="inlineStr">
        <is>
          <t>egts</t>
        </is>
      </c>
      <c r="C9" s="10" t="inlineStr">
        <is>
          <t>can</t>
        </is>
      </c>
      <c r="D9" s="10" t="n">
        <v>3834</v>
      </c>
      <c r="E9" s="10" t="n">
        <v>3833</v>
      </c>
      <c r="F9" s="10" t="n">
        <v>3833</v>
      </c>
      <c r="G9" s="10" t="n">
        <v>3833</v>
      </c>
      <c r="H9" s="10" t="n">
        <v>3833</v>
      </c>
      <c r="I9" s="10" t="n">
        <v>2.095356421705219e-08</v>
      </c>
      <c r="J9" s="10" t="n"/>
      <c r="K9" s="10" t="inlineStr">
        <is>
          <t>[null, null]</t>
        </is>
      </c>
      <c r="L9" s="10" t="inlineStr">
        <is>
          <t>да</t>
        </is>
      </c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70" customWidth="1" min="4" max="4"/>
    <col width="18" customWidth="1" min="5" max="5"/>
  </cols>
  <sheetData>
    <row r="1">
      <c r="A1" s="4" t="inlineStr">
        <is>
          <t>Риск</t>
        </is>
      </c>
      <c r="B1" s="4" t="inlineStr">
        <is>
          <t>Вероятность</t>
        </is>
      </c>
      <c r="C1" s="4" t="inlineStr">
        <is>
          <t>Влияние</t>
        </is>
      </c>
      <c r="D1" s="4" t="inlineStr">
        <is>
          <t>Мера</t>
        </is>
      </c>
      <c r="E1" s="4" t="inlineStr">
        <is>
          <t>Владелец</t>
        </is>
      </c>
    </row>
    <row r="2">
      <c r="A2" s="2" t="inlineStr">
        <is>
          <t>Нет связи на лесосеке неделями</t>
        </is>
      </c>
      <c r="B2" s="2" t="inlineStr">
        <is>
          <t>высокая</t>
        </is>
      </c>
      <c r="C2" s="2" t="inlineStr">
        <is>
          <t>высокое</t>
        </is>
      </c>
      <c r="D2" s="2" t="inlineStr">
        <is>
          <t>Архив 170 000+ точек, выгрузка на волоке, спутниковый канал для критичных машин, выгрузка через телефон по BT (проверить у модели)</t>
        </is>
      </c>
      <c r="E2" s="2" t="inlineStr">
        <is>
          <t>Архитектор</t>
        </is>
      </c>
    </row>
    <row r="3">
      <c r="A3" s="2" t="inlineStr">
        <is>
          <t>Моточасы не транслируются (только по запросу)</t>
        </is>
      </c>
      <c r="B3" s="2" t="inlineStr">
        <is>
          <t>средняя</t>
        </is>
      </c>
      <c r="C3" s="2" t="inlineStr">
        <is>
          <t>высокое</t>
        </is>
      </c>
      <c r="D3" s="2" t="inlineStr">
        <is>
          <t>Трекер с активным запросом PGN 59904 или CAN-LOG; стендовая квалификация каждой модели</t>
        </is>
      </c>
      <c r="E3" s="2" t="inlineStr">
        <is>
          <t>Инженер интеграции</t>
        </is>
      </c>
    </row>
    <row r="4">
      <c r="A4" s="2" t="inlineStr">
        <is>
          <t>Ошибка монтажника (порог 12/24 В, не тот вход)</t>
        </is>
      </c>
      <c r="B4" s="2" t="inlineStr">
        <is>
          <t>высокая</t>
        </is>
      </c>
      <c r="C4" s="2" t="inlineStr">
        <is>
          <t>высокое</t>
        </is>
      </c>
      <c r="D4" s="2" t="inlineStr">
        <is>
          <t>Мастер монтажа в приложении: автоматическая проверка «двигатель выкл./вкл.», фото, чек-лист</t>
        </is>
      </c>
      <c r="E4" s="2" t="inlineStr">
        <is>
          <t>Руководитель монтажа</t>
        </is>
      </c>
    </row>
    <row r="5">
      <c r="A5" s="2" t="inlineStr">
        <is>
          <t>Проприетарный CAN у модели</t>
        </is>
      </c>
      <c r="B5" s="2" t="inlineStr">
        <is>
          <t>средняя</t>
        </is>
      </c>
      <c r="C5" s="2" t="inlineStr">
        <is>
          <t>среднее</t>
        </is>
      </c>
      <c r="D5" s="2" t="inlineStr">
        <is>
          <t>CAN-LOG B44 по списку поддержки; иначе класс E</t>
        </is>
      </c>
      <c r="E5" s="2" t="inlineStr">
        <is>
          <t>Инженер интеграции</t>
        </is>
      </c>
    </row>
    <row r="6">
      <c r="A6" s="2" t="inlineStr">
        <is>
          <t>Потери при пересылке из шлюза</t>
        </is>
      </c>
      <c r="B6" s="2" t="inlineStr">
        <is>
          <t>средняя</t>
        </is>
      </c>
      <c r="C6" s="2" t="inlineStr">
        <is>
          <t>высокое</t>
        </is>
      </c>
      <c r="D6" s="2" t="inlineStr">
        <is>
          <t>Пересылка через локальный брокер (Kafka/Redis) + ежедневная сверка с БД шлюза (реализовано на стенде)</t>
        </is>
      </c>
      <c r="E6" s="2" t="inlineStr">
        <is>
          <t>Бэкенд</t>
        </is>
      </c>
    </row>
    <row r="7">
      <c r="A7" s="2" t="inlineStr">
        <is>
          <t>EGTS-ретрансляция без моточасов</t>
        </is>
      </c>
      <c r="B7" s="2" t="inlineStr">
        <is>
          <t>высокая</t>
        </is>
      </c>
      <c r="C7" s="2" t="inlineStr">
        <is>
          <t>среднее</t>
        </is>
      </c>
      <c r="D7" s="2" t="inlineStr">
        <is>
          <t>Доработка декодера Traccar (COUNTERS/ABS_CNTR) или отдельный EGTS-приёмник</t>
        </is>
      </c>
      <c r="E7" s="2" t="inlineStr">
        <is>
          <t>Бэкенд</t>
        </is>
      </c>
    </row>
    <row r="8">
      <c r="A8" s="2" t="inlineStr">
        <is>
          <t>Семантика тегов CAN Galileosky (закрыто в v2)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Закрыто по официальному протоколу НПО «ГалилеоСкай», с. 15–16: моточасы FMS — тег 0xDB (/100 = ч), пробег — 0xC2 (×5 = м); декодер шлюза покрыт тестами</t>
        </is>
      </c>
      <c r="E8" s="2" t="inlineStr">
        <is>
          <t>—</t>
        </is>
      </c>
    </row>
    <row r="9">
      <c r="A9" s="2" t="inlineStr">
        <is>
          <t>152-ФЗ: данные пользователей вне РФ</t>
        </is>
      </c>
      <c r="B9" s="2" t="inlineStr">
        <is>
          <t>низкая при верном выборе</t>
        </is>
      </c>
      <c r="C9" s="2" t="inlineStr">
        <is>
          <t>высокое</t>
        </is>
      </c>
      <c r="D9" s="2" t="inlineStr">
        <is>
          <t>Хостинг в РФ (Yandex Cloud / VK Cloud / Selectel), договор поручения обработки, согласия</t>
        </is>
      </c>
      <c r="E9" s="2" t="inlineStr">
        <is>
          <t>Юрист</t>
        </is>
      </c>
    </row>
    <row r="10">
      <c r="A10" s="2" t="inlineStr">
        <is>
          <t>Санкции и доступность оборудования/облаков</t>
        </is>
      </c>
      <c r="B10" s="2" t="inlineStr">
        <is>
          <t>средняя</t>
        </is>
      </c>
      <c r="C10" s="2" t="inlineStr">
        <is>
          <t>среднее</t>
        </is>
      </c>
      <c r="D10" s="2" t="inlineStr">
        <is>
          <t>Российские трекеры и облака; без западных OEM-облаков в критическом пути</t>
        </is>
      </c>
      <c r="E10" s="2" t="inlineStr">
        <is>
          <t>Закупки</t>
        </is>
      </c>
    </row>
    <row r="11">
      <c r="A11" s="2" t="inlineStr">
        <is>
          <t>Клиент против слежения поставщиком</t>
        </is>
      </c>
      <c r="B11" s="2" t="inlineStr">
        <is>
          <t>средняя</t>
        </is>
      </c>
      <c r="C11" s="2" t="inlineStr">
        <is>
          <t>высокое</t>
        </is>
      </c>
      <c r="D11" s="2" t="inlineStr">
        <is>
          <t>Уровни доступа: дистрибьютору — моточасы и ТО, координаты — только по согласию клиента</t>
        </is>
      </c>
      <c r="E11" s="2" t="inlineStr">
        <is>
          <t>Продукт</t>
        </is>
      </c>
    </row>
    <row r="12">
      <c r="A12" s="2" t="inlineStr">
        <is>
          <t>Неверные интервалы ТО</t>
        </is>
      </c>
      <c r="B12" s="2" t="inlineStr">
        <is>
          <t>средняя</t>
        </is>
      </c>
      <c r="C12" s="2" t="inlineStr">
        <is>
          <t>высокое</t>
        </is>
      </c>
      <c r="D12" s="2" t="inlineStr">
        <is>
          <t>Интервалы только из руководств OEM/рекомендаций FUCHS с источником и версией; анализ масла</t>
        </is>
      </c>
      <c r="E12" s="2" t="inlineStr">
        <is>
          <t>FUCHS/технолог</t>
        </is>
      </c>
    </row>
    <row r="13">
      <c r="A13" s="2" t="inlineStr">
        <is>
          <t>Ложный пробег у стоящих машин</t>
        </is>
      </c>
      <c r="B13" s="2" t="inlineStr">
        <is>
          <t>высокая</t>
        </is>
      </c>
      <c r="C13" s="2" t="inlineStr">
        <is>
          <t>среднее</t>
        </is>
      </c>
      <c r="D13" s="2" t="inlineStr">
        <is>
          <t>Пробег показывать только для колёсных машин; фильтры скорости/HDOP (подтверждено моделью)</t>
        </is>
      </c>
      <c r="E13" s="2" t="inlineStr">
        <is>
          <t>Аналитик</t>
        </is>
      </c>
    </row>
    <row r="14">
      <c r="A14" s="2" t="inlineStr">
        <is>
          <t>Отключение 3G</t>
        </is>
      </c>
      <c r="B14" s="2" t="inlineStr">
        <is>
          <t>высокая</t>
        </is>
      </c>
      <c r="C14" s="2" t="inlineStr">
        <is>
          <t>низкое</t>
        </is>
      </c>
      <c r="D14" s="2" t="inlineStr">
        <is>
          <t>Модемы LTE Cat.1/4 с 2G-резервом</t>
        </is>
      </c>
      <c r="E14" s="2" t="inlineStr">
        <is>
          <t>Закупки</t>
        </is>
      </c>
    </row>
    <row r="15">
      <c r="A15" s="2" t="inlineStr">
        <is>
          <t>Лицензия карт</t>
        </is>
      </c>
      <c r="B15" s="2" t="inlineStr">
        <is>
          <t>средняя</t>
        </is>
      </c>
      <c r="C15" s="2" t="inlineStr">
        <is>
          <t>среднее</t>
        </is>
      </c>
      <c r="D15" s="2" t="inlineStr">
        <is>
          <t>Собственные тайлы OSM или коммерческая лицензия; бесплатные API для мониторинга не использовать</t>
        </is>
      </c>
      <c r="E15" s="2" t="inlineStr">
        <is>
          <t>Фронтенд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0" customWidth="1" min="3" max="3"/>
    <col width="36" customWidth="1" min="4" max="4"/>
  </cols>
  <sheetData>
    <row r="1" ht="45" customHeight="1">
      <c r="A1" s="3" t="inlineStr">
        <is>
          <t>Длительности — оценка при команде 4–6 человек; уточняется после ответов на вопросы.</t>
        </is>
      </c>
    </row>
    <row r="2">
      <c r="A2" s="4" t="inlineStr">
        <is>
          <t>Этап</t>
        </is>
      </c>
      <c r="B2" s="4" t="inlineStr">
        <is>
          <t>Длительность</t>
        </is>
      </c>
      <c r="C2" s="4" t="inlineStr">
        <is>
          <t>Содержание</t>
        </is>
      </c>
      <c r="D2" s="4" t="inlineStr">
        <is>
          <t>Результат</t>
        </is>
      </c>
    </row>
    <row r="3">
      <c r="A3" s="2" t="inlineStr">
        <is>
          <t>0. Решения и договорённости</t>
        </is>
      </c>
      <c r="B3" s="2" t="inlineStr">
        <is>
          <t>2–3 нед.</t>
        </is>
      </c>
      <c r="C3" s="2" t="inlineStr">
        <is>
          <t>Ответы на вопросы, модель данных FUCHS (продукты, интервалы), выбор трекера, договор с облаком в РФ</t>
        </is>
      </c>
      <c r="D3" s="2" t="inlineStr">
        <is>
          <t>Утверждённое ТЗ v1</t>
        </is>
      </c>
    </row>
    <row r="4">
      <c r="A4" s="2" t="inlineStr">
        <is>
          <t>1. Стенд квалификации устройств</t>
        </is>
      </c>
      <c r="B4" s="2" t="inlineStr">
        <is>
          <t>3–4 нед.</t>
        </is>
      </c>
      <c r="C4" s="2" t="inlineStr">
        <is>
          <t>USB-CAN адаптер + генератор кадров (этот репозиторий) → Galileosky/Навтелеком → шлюз; проверка настроек FMS на реальном трекере</t>
        </is>
      </c>
      <c r="D4" s="2" t="inlineStr">
        <is>
          <t>Протокол испытаний по каждой модели трекера</t>
        </is>
      </c>
    </row>
    <row r="5">
      <c r="A5" s="2" t="inlineStr">
        <is>
          <t>2. Ядро платформы (MVP)</t>
        </is>
      </c>
      <c r="B5" s="2" t="inlineStr">
        <is>
          <t>8–10 нед.</t>
        </is>
      </c>
      <c r="C5" s="2" t="inlineStr">
        <is>
          <t>Шлюз Traccar (PostgreSQL), брокер, нормализация, TimescaleDB, API, роли FUCHS/дистрибьютор/клиент, сервисные интервалы, уведомления</t>
        </is>
      </c>
      <c r="D5" s="2" t="inlineStr">
        <is>
          <t>Работающий бэкенд + веб-кабинет</t>
        </is>
      </c>
    </row>
    <row r="6">
      <c r="A6" s="2" t="inlineStr">
        <is>
          <t>3. Мобильное приложение</t>
        </is>
      </c>
      <c r="B6" s="2" t="inlineStr">
        <is>
          <t>6–8 нед. (параллельно)</t>
        </is>
      </c>
      <c r="C6" s="2" t="inlineStr">
        <is>
          <t>Кабинет, карта, ТО, мастер монтажа, ручной ввод с фото, push (RuStore/FCM/APNs)</t>
        </is>
      </c>
      <c r="D6" s="2" t="inlineStr">
        <is>
          <t>Сборки Android (RuStore) и iOS</t>
        </is>
      </c>
    </row>
    <row r="7">
      <c r="A7" s="2" t="inlineStr">
        <is>
          <t>4. Пилот</t>
        </is>
      </c>
      <c r="B7" s="2" t="inlineStr">
        <is>
          <t>8–12 нед.</t>
        </is>
      </c>
      <c r="C7" s="2" t="inlineStr">
        <is>
          <t>20–50 машин: поле, лес, карьер; сравнение с приборными счётчиками</t>
        </is>
      </c>
      <c r="D7" s="2" t="inlineStr">
        <is>
          <t>Отчёт о точности и надёжности на реальных машинах</t>
        </is>
      </c>
    </row>
    <row r="8">
      <c r="A8" s="2" t="inlineStr">
        <is>
          <t>5. Масштабирование</t>
        </is>
      </c>
      <c r="B8" s="2" t="inlineStr">
        <is>
          <t>далее</t>
        </is>
      </c>
      <c r="C8" s="2" t="inlineStr">
        <is>
          <t>Интеграции OEM, EGTS-доработка, 1С дистрибьюторов, собственное устройство (при необходимости)</t>
        </is>
      </c>
      <c r="D8" s="2" t="inlineStr">
        <is>
          <t>Коммерческий запуск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45" customWidth="1" min="3" max="3"/>
    <col width="60" customWidth="1" min="4" max="4"/>
  </cols>
  <sheetData>
    <row r="1">
      <c r="A1" s="4" t="inlineStr">
        <is>
          <t>№</t>
        </is>
      </c>
      <c r="B1" s="4" t="inlineStr">
        <is>
          <t>Вопрос к руководству / FUCHS</t>
        </is>
      </c>
      <c r="C1" s="4" t="inlineStr">
        <is>
          <t>Ответ заказчика (23.09.2026)</t>
        </is>
      </c>
      <c r="D1" s="4" t="inlineStr">
        <is>
          <t>Решение</t>
        </is>
      </c>
    </row>
    <row r="2">
      <c r="A2" s="2" t="n">
        <v>1</v>
      </c>
      <c r="B2" s="2" t="inlineStr">
        <is>
          <t>С каким юрлицом FUCHS идёт проект: ООО «ФУКС ОЙЛ» (РФ) или FUCHS SE? Кто заказчик и владелец ПО и данных?</t>
        </is>
      </c>
      <c r="C2" s="2" t="inlineStr">
        <is>
          <t>Неважно</t>
        </is>
      </c>
      <c r="D2" s="2" t="inlineStr">
        <is>
          <t>Не влияет на техническую часть</t>
        </is>
      </c>
    </row>
    <row r="3">
      <c r="A3" s="2" t="n">
        <v>2</v>
      </c>
      <c r="B3" s="2" t="inlineStr">
        <is>
          <t>Какая бизнес-цель главная: напоминания о замене масла, прогноз продаж дистрибьюторам, программа лояльности/гарантии, контроль использования продуктов FUCHS?</t>
        </is>
      </c>
      <c r="C3" s="2" t="inlineStr">
        <is>
          <t>Дистанционный мониторинг техники и её показателей в реальном времени, анализ</t>
        </is>
      </c>
      <c r="D3" s="2" t="inlineStr">
        <is>
          <t>Кабинет «Парк», обновление каждые 30 с, история, наработка по дням</t>
        </is>
      </c>
    </row>
    <row r="4">
      <c r="A4" s="2" t="n">
        <v>3</v>
      </c>
      <c r="B4" s="2" t="inlineStr">
        <is>
          <t>Кто платит за устройство и связь (FUCHS, дистрибьютор, клиент) и какой целевой бюджет на машину?</t>
        </is>
      </c>
      <c r="C4" s="2" t="inlineStr">
        <is>
          <t>Покупатель ПО; для партнёров — ноль затрат</t>
        </is>
      </c>
      <c r="D4" s="2" t="inlineStr">
        <is>
          <t>Источники без оборудования: платформы, трекеры, которые уже стоят, телефон в кабине, фото счётчика</t>
        </is>
      </c>
    </row>
    <row r="5">
      <c r="A5" s="2" t="n">
        <v>4</v>
      </c>
      <c r="B5" s="2" t="inlineStr">
        <is>
          <t>Масштаб: сколько машин в пилоте и через 1–3 года? Какие регионы и сферы в приоритете?</t>
        </is>
      </c>
      <c r="C5" s="2" t="inlineStr">
        <is>
          <t>Вся РФ</t>
        </is>
      </c>
      <c r="D5" s="2" t="inlineStr">
        <is>
          <t>Часовые пояса организаций, офлайн-очереди в трекере и телефоне</t>
        </is>
      </c>
    </row>
    <row r="6">
      <c r="A6" s="2" t="n">
        <v>5</v>
      </c>
      <c r="B6" s="2" t="inlineStr">
        <is>
          <t>«Своё устройство» — это обязательно собственное железо под брендом или допустим серийный российский трекер (под брендом/с прошивкой производителя)?</t>
        </is>
      </c>
      <c r="C6" s="2" t="inlineStr">
        <is>
          <t>Нет</t>
        </is>
      </c>
      <c r="D6" s="2" t="inlineStr">
        <is>
          <t>Серийные трекеры и то, что уже стоит в машине</t>
        </is>
      </c>
    </row>
    <row r="7">
      <c r="A7" s="2" t="n">
        <v>6</v>
      </c>
      <c r="B7" s="2" t="inlineStr">
        <is>
          <t>Даст ли FUCHS базу рекомендаций «машина/узел → продукт, объём, интервал» (или лицензию на неё)?</t>
        </is>
      </c>
      <c r="C7" s="2" t="inlineStr">
        <is>
          <t>Не знаю</t>
        </is>
      </c>
      <c r="D7" s="2" t="inlineStr">
        <is>
          <t>Интервалы и продукты задаются на машине; база FUCHS — позже</t>
        </is>
      </c>
    </row>
    <row r="8">
      <c r="A8" s="2" t="n">
        <v>7</v>
      </c>
      <c r="B8" s="2" t="inlineStr">
        <is>
          <t>Нужны ли координаты в реальном времени дистрибьютору и FUCHS, или им достаточно моточасов и статуса ТО (координаты видит только клиент)?</t>
        </is>
      </c>
      <c r="C8" s="2" t="inlineStr">
        <is>
          <t>Да, но главный администратор может отключить для машины</t>
        </is>
      </c>
      <c r="D8" s="2" t="inlineStr">
        <is>
          <t>Переключатель на машине и «показывать дистрибьютору и FUCHS»; координаты выключенной машины не принимаются</t>
        </is>
      </c>
    </row>
    <row r="9">
      <c r="A9" s="2" t="n">
        <v>8</v>
      </c>
      <c r="B9" s="2" t="inlineStr">
        <is>
          <t>Нужна ли интеграция с 1С дистрибьюторов (заказы, остатки) и с лабораторией анализа масла?</t>
        </is>
      </c>
      <c r="C9" s="2" t="inlineStr">
        <is>
          <t>Отложено; просили гарантию 100%</t>
        </is>
      </c>
      <c r="D9" s="2" t="inlineStr">
        <is>
          <t>Гарантировать заранее нельзя (конфигурации 1С доработаны); метод — OData/EnterpriseData с проверкой на копии базы</t>
        </is>
      </c>
    </row>
    <row r="10">
      <c r="A10" s="2" t="n">
        <v>9</v>
      </c>
      <c r="B10" s="2" t="inlineStr">
        <is>
          <t>Где размещать сервис: облако в РФ (какое) или серверы FUCHS? Есть ли требования ИБ заказчика?</t>
        </is>
      </c>
      <c r="C10" s="2" t="inlineStr">
        <is>
          <t>Пока из того, что есть; потом перенос</t>
        </is>
      </c>
      <c r="D10" s="2" t="inlineStr">
        <is>
          <t>Vercel сейчас; тот же сервер на VPS в РФ</t>
        </is>
      </c>
    </row>
    <row r="11">
      <c r="A11" s="2" t="n">
        <v>10</v>
      </c>
      <c r="B11" s="2" t="inlineStr">
        <is>
          <t>Нужны ли iOS и Android одновременно? Публикация в RuStore обязательна?</t>
        </is>
      </c>
      <c r="C11" s="2" t="inlineStr">
        <is>
          <t>Обязательно: iOS, Android, Windows + лендинг; RuStore сделаете сами</t>
        </is>
      </c>
      <c r="D11" s="2" t="inlineStr">
        <is>
          <t>PWA для iOS, APK для Android, ZIP для Windows, лендинг с загрузками</t>
        </is>
      </c>
    </row>
    <row r="12">
      <c r="A12" s="2" t="n">
        <v>11</v>
      </c>
      <c r="B12" s="2" t="inlineStr">
        <is>
          <t>Язык интерфейса: только русский или также английский (для FUCHS SE)?</t>
        </is>
      </c>
      <c r="C12" s="2" t="inlineStr">
        <is>
          <t>Русский</t>
        </is>
      </c>
      <c r="D12" s="2" t="inlineStr">
        <is>
          <t>Интерфейс на русском</t>
        </is>
      </c>
    </row>
    <row r="13">
      <c r="A13" s="2" t="n">
        <v>12</v>
      </c>
      <c r="B13" s="2" t="inlineStr">
        <is>
          <t>Есть ли уже установленные трекеры у ключевых клиентов (Wialon, Omnicomm и т. п.) — готовы ли они на ретрансляцию?</t>
        </is>
      </c>
      <c r="C13" s="2" t="inlineStr">
        <is>
          <t>Решайте сами</t>
        </is>
      </c>
      <c r="D13" s="2" t="inlineStr">
        <is>
          <t>Коннекторы Wialon, Traccar, ISO 15143-3 + приём EGTS, Wialon IPS, Galileosky и ретрансляции</t>
        </is>
      </c>
    </row>
    <row r="14">
      <c r="A14" s="2" t="n">
        <v>13</v>
      </c>
      <c r="B14" s="2" t="inlineStr">
        <is>
          <t>Допустим ли активный опрос шины (запросы J1939) на машинах клиентов, или только пассивное бесконтактное чтение?</t>
        </is>
      </c>
      <c r="C14" s="2" t="inlineStr">
        <is>
          <t>Решайте сами; можно оба варианта с объяснением</t>
        </is>
      </c>
      <c r="D14" s="2" t="inlineStr">
        <is>
          <t>Пассивно по умолчанию; активный запрос PGN 65253 — выбор в настройке трекера</t>
        </is>
      </c>
    </row>
    <row r="15">
      <c r="A15" s="2" t="n">
        <v>14</v>
      </c>
      <c r="B15" s="2" t="inlineStr">
        <is>
          <t>Какие сроки: к какой дате нужен пилот на реальных машинах?</t>
        </is>
      </c>
      <c r="C15" s="2" t="inlineStr">
        <is>
          <t>Без ограничений</t>
        </is>
      </c>
      <c r="D15" s="2" t="inlineStr">
        <is>
          <t>—</t>
        </is>
      </c>
    </row>
    <row r="16">
      <c r="A16" s="2" t="n">
        <v>15</v>
      </c>
      <c r="B16" s="2" t="inlineStr">
        <is>
          <t>Что было согласовано по старой ветке (харвестеры, кубатура, 1С) — это входит в объём или исключается?</t>
        </is>
      </c>
      <c r="C16" s="2" t="inlineStr">
        <is>
          <t>Кубатура и 1С отложены; харвестеры остаются</t>
        </is>
      </c>
      <c r="D16" s="2" t="inlineStr">
        <is>
          <t>Объём: моточасы, пробег, местоположение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1" customWidth="1" min="4" max="4"/>
    <col width="10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45" customHeight="1">
      <c r="A1" s="3" t="inlineStr">
        <is>
          <t>v2: эмуляторы → реальный TCP → gateway/ → API → PostgreSQL; одометрия — рабочий TypeScript-код. Источник: docs/evidence/*.json.</t>
        </is>
      </c>
    </row>
    <row r="2">
      <c r="A2" s="4" t="inlineStr">
        <is>
          <t>Прогон</t>
        </is>
      </c>
      <c r="B2" s="4" t="inlineStr">
        <is>
          <t>Протокол / код</t>
        </is>
      </c>
      <c r="C2" s="4" t="inlineStr">
        <is>
          <t>Точек отправлено</t>
        </is>
      </c>
      <c r="D2" s="4" t="inlineStr">
        <is>
          <t>Сохранено</t>
        </is>
      </c>
      <c r="E2" s="4" t="inlineStr">
        <is>
          <t>Потеряно</t>
        </is>
      </c>
      <c r="F2" s="4" t="inlineStr">
        <is>
          <t>Дублей после повтора</t>
        </is>
      </c>
      <c r="G2" s="4" t="inlineStr">
        <is>
          <t>Моточасы платформа, ч</t>
        </is>
      </c>
      <c r="H2" s="4" t="inlineStr">
        <is>
          <t>Моточасы истина, ч</t>
        </is>
      </c>
      <c r="I2" s="4" t="inlineStr">
        <is>
          <t>Пробег наш, км</t>
        </is>
      </c>
      <c r="J2" s="4" t="inlineStr">
        <is>
          <t>Пробег истина, км</t>
        </is>
      </c>
    </row>
    <row r="3">
      <c r="A3" s="10" t="inlineStr">
        <is>
          <t>Харвестер John Deere 1270G</t>
        </is>
      </c>
      <c r="B3" s="10" t="inlineStr">
        <is>
          <t>galileosky</t>
        </is>
      </c>
      <c r="C3" s="10" t="n">
        <v>957</v>
      </c>
      <c r="D3" s="10" t="n">
        <v>957</v>
      </c>
      <c r="E3" s="10" t="n">
        <v>0</v>
      </c>
      <c r="F3" s="10" t="n">
        <v>0</v>
      </c>
      <c r="G3" s="10" t="n">
        <v>3035.25</v>
      </c>
      <c r="H3" s="10" t="n">
        <v>3035.265</v>
      </c>
      <c r="I3" s="10" t="n">
        <v>9.465</v>
      </c>
      <c r="J3" s="10" t="n">
        <v>10.702</v>
      </c>
    </row>
    <row r="4">
      <c r="A4" s="10" t="inlineStr">
        <is>
          <t>Экскаватор SANY SY500H</t>
        </is>
      </c>
      <c r="B4" s="10" t="inlineStr">
        <is>
          <t>egts</t>
        </is>
      </c>
      <c r="C4" s="10" t="n">
        <v>879</v>
      </c>
      <c r="D4" s="10" t="n">
        <v>879</v>
      </c>
      <c r="E4" s="10" t="n">
        <v>0</v>
      </c>
      <c r="F4" s="10" t="n">
        <v>0</v>
      </c>
      <c r="G4" s="10" t="n">
        <v>3065.1</v>
      </c>
      <c r="H4" s="10" t="n">
        <v>3065.131</v>
      </c>
      <c r="I4" s="10" t="n">
        <v>0.414</v>
      </c>
      <c r="J4" s="10" t="n">
        <v>0.402</v>
      </c>
    </row>
    <row r="5">
      <c r="A5" s="10" t="inlineStr">
        <is>
          <t>Лесовоз КАМАЗ-43118</t>
        </is>
      </c>
      <c r="B5" s="10" t="inlineStr">
        <is>
          <t>wialon_ips</t>
        </is>
      </c>
      <c r="C5" s="10" t="n">
        <v>3589</v>
      </c>
      <c r="D5" s="10" t="n">
        <v>3589</v>
      </c>
      <c r="E5" s="10" t="n">
        <v>0</v>
      </c>
      <c r="F5" s="10" t="n">
        <v>0</v>
      </c>
      <c r="G5" s="10" t="n">
        <v>3026.75</v>
      </c>
      <c r="H5" s="10" t="n">
        <v>3026.774</v>
      </c>
      <c r="I5" s="10" t="n">
        <v>801.616</v>
      </c>
      <c r="J5" s="10" t="n">
        <v>803.8150000000001</v>
      </c>
    </row>
    <row r="6">
      <c r="A6" s="10" t="inlineStr">
        <is>
          <t>Одометрия: harvester (default)</t>
        </is>
      </c>
      <c r="B6" s="10" t="inlineStr">
        <is>
          <t>TS-код</t>
        </is>
      </c>
      <c r="C6" s="10" t="n">
        <v>957</v>
      </c>
      <c r="D6" s="10" t="inlineStr"/>
      <c r="E6" s="10" t="inlineStr"/>
      <c r="F6" s="10" t="inlineStr"/>
      <c r="G6" s="10" t="inlineStr"/>
      <c r="H6" s="10" t="inlineStr"/>
      <c r="I6" s="10" t="n">
        <v>10.231</v>
      </c>
      <c r="J6" s="10" t="n">
        <v>10.702</v>
      </c>
    </row>
    <row r="7">
      <c r="A7" s="10" t="inlineStr">
        <is>
          <t>Одометрия: harvester (recommended)</t>
        </is>
      </c>
      <c r="B7" s="10" t="inlineStr">
        <is>
          <t>TS-код</t>
        </is>
      </c>
      <c r="C7" s="10" t="n">
        <v>4948</v>
      </c>
      <c r="D7" s="10" t="inlineStr"/>
      <c r="E7" s="10" t="inlineStr"/>
      <c r="F7" s="10" t="inlineStr"/>
      <c r="G7" s="10" t="inlineStr"/>
      <c r="H7" s="10" t="inlineStr"/>
      <c r="I7" s="10" t="n">
        <v>10.978</v>
      </c>
      <c r="J7" s="10" t="n">
        <v>10.716</v>
      </c>
    </row>
    <row r="8">
      <c r="A8" s="10" t="inlineStr">
        <is>
          <t>Одометрия: forwarder (default)</t>
        </is>
      </c>
      <c r="B8" s="10" t="inlineStr">
        <is>
          <t>TS-код</t>
        </is>
      </c>
      <c r="C8" s="10" t="n">
        <v>2259</v>
      </c>
      <c r="D8" s="10" t="inlineStr"/>
      <c r="E8" s="10" t="inlineStr"/>
      <c r="F8" s="10" t="inlineStr"/>
      <c r="G8" s="10" t="inlineStr"/>
      <c r="H8" s="10" t="inlineStr"/>
      <c r="I8" s="10" t="n">
        <v>55.439</v>
      </c>
      <c r="J8" s="10" t="n">
        <v>58.072</v>
      </c>
    </row>
    <row r="9">
      <c r="A9" s="10" t="inlineStr">
        <is>
          <t>Одометрия: forwarder (recommended)</t>
        </is>
      </c>
      <c r="B9" s="10" t="inlineStr">
        <is>
          <t>TS-код</t>
        </is>
      </c>
      <c r="C9" s="10" t="n">
        <v>6051</v>
      </c>
      <c r="D9" s="10" t="inlineStr"/>
      <c r="E9" s="10" t="inlineStr"/>
      <c r="F9" s="10" t="inlineStr"/>
      <c r="G9" s="10" t="inlineStr"/>
      <c r="H9" s="10" t="inlineStr"/>
      <c r="I9" s="10" t="n">
        <v>55.291</v>
      </c>
      <c r="J9" s="10" t="n">
        <v>58.089</v>
      </c>
    </row>
    <row r="10">
      <c r="A10" s="10" t="inlineStr">
        <is>
          <t>Одометрия: excavator (default)</t>
        </is>
      </c>
      <c r="B10" s="10" t="inlineStr">
        <is>
          <t>TS-код</t>
        </is>
      </c>
      <c r="C10" s="10" t="n">
        <v>879</v>
      </c>
      <c r="D10" s="10" t="inlineStr"/>
      <c r="E10" s="10" t="inlineStr"/>
      <c r="F10" s="10" t="inlineStr"/>
      <c r="G10" s="10" t="inlineStr"/>
      <c r="H10" s="10" t="inlineStr"/>
      <c r="I10" s="10" t="n">
        <v>0.404</v>
      </c>
      <c r="J10" s="10" t="n">
        <v>0.402</v>
      </c>
    </row>
    <row r="11">
      <c r="A11" s="10" t="inlineStr">
        <is>
          <t>Одометрия: excavator (recommended)</t>
        </is>
      </c>
      <c r="B11" s="10" t="inlineStr">
        <is>
          <t>TS-код</t>
        </is>
      </c>
      <c r="C11" s="10" t="n">
        <v>7950</v>
      </c>
      <c r="D11" s="10" t="inlineStr"/>
      <c r="E11" s="10" t="inlineStr"/>
      <c r="F11" s="10" t="inlineStr"/>
      <c r="G11" s="10" t="inlineStr"/>
      <c r="H11" s="10" t="inlineStr"/>
      <c r="I11" s="10" t="n">
        <v>0.39</v>
      </c>
      <c r="J11" s="10" t="n">
        <v>0.402</v>
      </c>
    </row>
    <row r="12">
      <c r="A12" s="10" t="inlineStr">
        <is>
          <t>Одометрия: tractor_can (default)</t>
        </is>
      </c>
      <c r="B12" s="10" t="inlineStr">
        <is>
          <t>TS-код</t>
        </is>
      </c>
      <c r="C12" s="10" t="n">
        <v>4199</v>
      </c>
      <c r="D12" s="10" t="inlineStr"/>
      <c r="E12" s="10" t="inlineStr"/>
      <c r="F12" s="10" t="inlineStr"/>
      <c r="G12" s="10" t="inlineStr"/>
      <c r="H12" s="10" t="inlineStr"/>
      <c r="I12" s="10" t="n">
        <v>278.22</v>
      </c>
      <c r="J12" s="10" t="n">
        <v>280.303</v>
      </c>
    </row>
    <row r="13">
      <c r="A13" s="10" t="inlineStr">
        <is>
          <t>Одометрия: tractor_can (recommended)</t>
        </is>
      </c>
      <c r="B13" s="10" t="inlineStr">
        <is>
          <t>TS-код</t>
        </is>
      </c>
      <c r="C13" s="10" t="n">
        <v>11586</v>
      </c>
      <c r="D13" s="10" t="inlineStr"/>
      <c r="E13" s="10" t="inlineStr"/>
      <c r="F13" s="10" t="inlineStr"/>
      <c r="G13" s="10" t="inlineStr"/>
      <c r="H13" s="10" t="inlineStr"/>
      <c r="I13" s="10" t="n">
        <v>278.515</v>
      </c>
      <c r="J13" s="10" t="n">
        <v>280.303</v>
      </c>
    </row>
    <row r="14">
      <c r="A14" s="10" t="inlineStr">
        <is>
          <t>Одометрия: tractor_mech (default)</t>
        </is>
      </c>
      <c r="B14" s="10" t="inlineStr">
        <is>
          <t>TS-код</t>
        </is>
      </c>
      <c r="C14" s="10" t="n">
        <v>3543</v>
      </c>
      <c r="D14" s="10" t="inlineStr"/>
      <c r="E14" s="10" t="inlineStr"/>
      <c r="F14" s="10" t="inlineStr"/>
      <c r="G14" s="10" t="inlineStr"/>
      <c r="H14" s="10" t="inlineStr"/>
      <c r="I14" s="10" t="n">
        <v>223.827</v>
      </c>
      <c r="J14" s="10" t="n">
        <v>225.472</v>
      </c>
    </row>
    <row r="15">
      <c r="A15" s="10" t="inlineStr">
        <is>
          <t>Одометрия: tractor_mech (recommended)</t>
        </is>
      </c>
      <c r="B15" s="10" t="inlineStr">
        <is>
          <t>TS-код</t>
        </is>
      </c>
      <c r="C15" s="10" t="n">
        <v>9551</v>
      </c>
      <c r="D15" s="10" t="inlineStr"/>
      <c r="E15" s="10" t="inlineStr"/>
      <c r="F15" s="10" t="inlineStr"/>
      <c r="G15" s="10" t="inlineStr"/>
      <c r="H15" s="10" t="inlineStr"/>
      <c r="I15" s="10" t="n">
        <v>224.023</v>
      </c>
      <c r="J15" s="10" t="n">
        <v>225.472</v>
      </c>
    </row>
    <row r="16">
      <c r="A16" s="10" t="inlineStr">
        <is>
          <t>Одометрия: dump_truck (default)</t>
        </is>
      </c>
      <c r="B16" s="10" t="inlineStr">
        <is>
          <t>TS-код</t>
        </is>
      </c>
      <c r="C16" s="10" t="n">
        <v>5936</v>
      </c>
      <c r="D16" s="10" t="inlineStr"/>
      <c r="E16" s="10" t="inlineStr"/>
      <c r="F16" s="10" t="inlineStr"/>
      <c r="G16" s="10" t="inlineStr"/>
      <c r="H16" s="10" t="inlineStr"/>
      <c r="I16" s="10" t="n">
        <v>1155.351</v>
      </c>
      <c r="J16" s="10" t="n">
        <v>1158.974</v>
      </c>
    </row>
    <row r="17">
      <c r="A17" s="10" t="inlineStr">
        <is>
          <t>Одометрия: dump_truck (recommended)</t>
        </is>
      </c>
      <c r="B17" s="10" t="inlineStr">
        <is>
          <t>TS-код</t>
        </is>
      </c>
      <c r="C17" s="10" t="n">
        <v>44107</v>
      </c>
      <c r="D17" s="10" t="inlineStr"/>
      <c r="E17" s="10" t="inlineStr"/>
      <c r="F17" s="10" t="inlineStr"/>
      <c r="G17" s="10" t="inlineStr"/>
      <c r="H17" s="10" t="inlineStr"/>
      <c r="I17" s="10" t="n">
        <v>1155.023</v>
      </c>
      <c r="J17" s="10" t="n">
        <v>1158.974</v>
      </c>
    </row>
    <row r="18">
      <c r="A18" s="10" t="inlineStr">
        <is>
          <t>Одометрия: timber_truck (default)</t>
        </is>
      </c>
      <c r="B18" s="10" t="inlineStr">
        <is>
          <t>TS-код</t>
        </is>
      </c>
      <c r="C18" s="10" t="n">
        <v>3589</v>
      </c>
      <c r="D18" s="10" t="inlineStr"/>
      <c r="E18" s="10" t="inlineStr"/>
      <c r="F18" s="10" t="inlineStr"/>
      <c r="G18" s="10" t="inlineStr"/>
      <c r="H18" s="10" t="inlineStr"/>
      <c r="I18" s="10" t="n">
        <v>801.721</v>
      </c>
      <c r="J18" s="10" t="n">
        <v>803.8150000000001</v>
      </c>
    </row>
    <row r="19">
      <c r="A19" s="10" t="inlineStr">
        <is>
          <t>Одометрия: timber_truck (recommended)</t>
        </is>
      </c>
      <c r="B19" s="10" t="inlineStr">
        <is>
          <t>TS-код</t>
        </is>
      </c>
      <c r="C19" s="10" t="n">
        <v>27159</v>
      </c>
      <c r="D19" s="10" t="inlineStr"/>
      <c r="E19" s="10" t="inlineStr"/>
      <c r="F19" s="10" t="inlineStr"/>
      <c r="G19" s="10" t="inlineStr"/>
      <c r="H19" s="10" t="inlineStr"/>
      <c r="I19" s="10" t="n">
        <v>798.727</v>
      </c>
      <c r="J19" s="10" t="n">
        <v>803.8150000000001</v>
      </c>
    </row>
    <row r="20">
      <c r="A20" s="10" t="inlineStr">
        <is>
          <t>Стоянка open_sky 12 ч, шаг 1 с, скорость=да</t>
        </is>
      </c>
      <c r="B20" s="10" t="inlineStr">
        <is>
          <t>TS-код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n">
        <v>0.025</v>
      </c>
      <c r="J20" s="10" t="n">
        <v>0</v>
      </c>
    </row>
    <row r="21">
      <c r="A21" s="10" t="inlineStr">
        <is>
          <t>Стоянка open_sky 72 ч, шаг 30 с, скорость=да</t>
        </is>
      </c>
      <c r="B21" s="10" t="inlineStr">
        <is>
          <t>TS-код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n">
        <v>0</v>
      </c>
      <c r="J21" s="10" t="n">
        <v>0</v>
      </c>
    </row>
    <row r="22">
      <c r="A22" s="10" t="inlineStr">
        <is>
          <t>Стоянка open_sky 72 ч, шаг 300 с, скорость=да</t>
        </is>
      </c>
      <c r="B22" s="10" t="inlineStr">
        <is>
          <t>TS-код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n">
        <v>0.062</v>
      </c>
      <c r="J22" s="10" t="n">
        <v>0</v>
      </c>
    </row>
    <row r="23">
      <c r="A23" s="10" t="inlineStr">
        <is>
          <t>Стоянка open_sky 12 ч, шаг 1 с, скорость=нет</t>
        </is>
      </c>
      <c r="B23" s="10" t="inlineStr">
        <is>
          <t>TS-код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n">
        <v>0</v>
      </c>
      <c r="J23" s="10" t="n">
        <v>0</v>
      </c>
    </row>
    <row r="24">
      <c r="A24" s="10" t="inlineStr">
        <is>
          <t>Стоянка open_sky 72 ч, шаг 30 с, скорость=нет</t>
        </is>
      </c>
      <c r="B24" s="10" t="inlineStr">
        <is>
          <t>TS-код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n">
        <v>0</v>
      </c>
      <c r="J24" s="10" t="n">
        <v>0</v>
      </c>
    </row>
    <row r="25">
      <c r="A25" s="10" t="inlineStr">
        <is>
          <t>Стоянка open_sky 72 ч, шаг 300 с, скорость=нет</t>
        </is>
      </c>
      <c r="B25" s="10" t="inlineStr">
        <is>
          <t>TS-код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n">
        <v>0</v>
      </c>
      <c r="J25" s="10" t="n">
        <v>0</v>
      </c>
    </row>
    <row r="26">
      <c r="A26" s="10" t="inlineStr">
        <is>
          <t>Стоянка canopy 12 ч, шаг 1 с, скорость=да</t>
        </is>
      </c>
      <c r="B26" s="10" t="inlineStr">
        <is>
          <t>TS-код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n">
        <v>0.025</v>
      </c>
      <c r="J26" s="10" t="n">
        <v>0</v>
      </c>
    </row>
    <row r="27">
      <c r="A27" s="10" t="inlineStr">
        <is>
          <t>Стоянка canopy 72 ч, шаг 30 с, скорость=да</t>
        </is>
      </c>
      <c r="B27" s="10" t="inlineStr">
        <is>
          <t>TS-код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n">
        <v>0</v>
      </c>
      <c r="J27" s="10" t="n">
        <v>0</v>
      </c>
    </row>
    <row r="28">
      <c r="A28" s="10" t="inlineStr">
        <is>
          <t>Стоянка canopy 72 ч, шаг 300 с, скорость=да</t>
        </is>
      </c>
      <c r="B28" s="10" t="inlineStr">
        <is>
          <t>TS-код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n">
        <v>0.038</v>
      </c>
      <c r="J28" s="10" t="n">
        <v>0</v>
      </c>
    </row>
    <row r="29">
      <c r="A29" s="10" t="inlineStr">
        <is>
          <t>Стоянка canopy 12 ч, шаг 1 с, скорость=нет</t>
        </is>
      </c>
      <c r="B29" s="10" t="inlineStr">
        <is>
          <t>TS-код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n">
        <v>0</v>
      </c>
      <c r="J29" s="10" t="n">
        <v>0</v>
      </c>
    </row>
    <row r="30">
      <c r="A30" s="10" t="inlineStr">
        <is>
          <t>Стоянка canopy 72 ч, шаг 30 с, скорость=нет</t>
        </is>
      </c>
      <c r="B30" s="10" t="inlineStr">
        <is>
          <t>TS-код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n">
        <v>0</v>
      </c>
      <c r="J30" s="10" t="n">
        <v>0</v>
      </c>
    </row>
    <row r="31">
      <c r="A31" s="10" t="inlineStr">
        <is>
          <t>Стоянка canopy 72 ч, шаг 300 с, скорость=нет</t>
        </is>
      </c>
      <c r="B31" s="10" t="inlineStr">
        <is>
          <t>TS-код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n">
        <v>0</v>
      </c>
      <c r="J31" s="10" t="n">
        <v>0</v>
      </c>
    </row>
    <row r="32">
      <c r="A32" s="10" t="inlineStr">
        <is>
          <t>Стоянка dense_canopy 12 ч, шаг 1 с, скорость=да</t>
        </is>
      </c>
      <c r="B32" s="10" t="inlineStr">
        <is>
          <t>TS-код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n">
        <v>0.025</v>
      </c>
      <c r="J32" s="10" t="n">
        <v>0</v>
      </c>
    </row>
    <row r="33">
      <c r="A33" s="10" t="inlineStr">
        <is>
          <t>Стоянка dense_canopy 72 ч, шаг 30 с, скорость=да</t>
        </is>
      </c>
      <c r="B33" s="10" t="inlineStr">
        <is>
          <t>TS-код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n">
        <v>0</v>
      </c>
      <c r="J33" s="10" t="n">
        <v>0</v>
      </c>
    </row>
    <row r="34">
      <c r="A34" s="10" t="inlineStr">
        <is>
          <t>Стоянка dense_canopy 72 ч, шаг 300 с, скорость=да</t>
        </is>
      </c>
      <c r="B34" s="10" t="inlineStr">
        <is>
          <t>TS-код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n">
        <v>0.158</v>
      </c>
      <c r="J34" s="10" t="n">
        <v>0</v>
      </c>
    </row>
    <row r="35">
      <c r="A35" s="10" t="inlineStr">
        <is>
          <t>Стоянка dense_canopy 12 ч, шаг 1 с, скорость=нет</t>
        </is>
      </c>
      <c r="B35" s="10" t="inlineStr">
        <is>
          <t>TS-код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n">
        <v>0</v>
      </c>
      <c r="J35" s="10" t="n">
        <v>0</v>
      </c>
    </row>
    <row r="36">
      <c r="A36" s="10" t="inlineStr">
        <is>
          <t>Стоянка dense_canopy 72 ч, шаг 30 с, скорость=нет</t>
        </is>
      </c>
      <c r="B36" s="10" t="inlineStr">
        <is>
          <t>TS-код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n">
        <v>0</v>
      </c>
      <c r="J36" s="10" t="n">
        <v>0</v>
      </c>
    </row>
    <row r="37">
      <c r="A37" s="10" t="inlineStr">
        <is>
          <t>Стоянка dense_canopy 72 ч, шаг 300 с, скорость=нет</t>
        </is>
      </c>
      <c r="B37" s="10" t="inlineStr">
        <is>
          <t>TS-код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n">
        <v>0</v>
      </c>
      <c r="J37" s="10" t="n">
        <v>0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90" customWidth="1" min="3" max="3"/>
  </cols>
  <sheetData>
    <row r="1" ht="45" customHeight="1">
      <c r="A1" s="3" t="inlineStr">
        <is>
          <t>Дата обращения к источникам: 2026-09-23.</t>
        </is>
      </c>
    </row>
    <row r="2">
      <c r="A2" s="4" t="inlineStr">
        <is>
          <t>ID</t>
        </is>
      </c>
      <c r="B2" s="4" t="inlineStr">
        <is>
          <t>Описание</t>
        </is>
      </c>
      <c r="C2" s="4" t="inlineStr">
        <is>
          <t>URL</t>
        </is>
      </c>
    </row>
    <row r="3">
      <c r="A3" s="2" t="inlineStr">
        <is>
          <t>S1</t>
        </is>
      </c>
      <c r="B3" s="2" t="inlineStr">
        <is>
          <t>Traccar v6.15.3 (Apache-2.0): исходники декодеров, тестовые пакеты устройств</t>
        </is>
      </c>
      <c r="C3" s="2" t="inlineStr">
        <is>
          <t>https://github.com/traccar/traccar</t>
        </is>
      </c>
    </row>
    <row r="4">
      <c r="A4" s="2" t="inlineStr">
        <is>
          <t>S2</t>
        </is>
      </c>
      <c r="B4" s="2" t="inlineStr">
        <is>
          <t>Gurtam: спецификация Wialon IPS v2.2 (формат, CRC, примеры)</t>
        </is>
      </c>
      <c r="C4" s="2" t="inlineStr">
        <is>
          <t>https://help.wialon.com/app/locale/en/spaces/wialon-hosting/user-guide/hardware/assets/wialon-ips-v-2-2-en.pdf</t>
        </is>
      </c>
    </row>
    <row r="5">
      <c r="A5" s="2" t="inlineStr">
        <is>
          <t>S3</t>
        </is>
      </c>
      <c r="B5" s="2" t="inlineStr">
        <is>
          <t>CSS Electronics: J1939 Explained (пример EEC1 0x0CF00401 → 621 об/мин; запрос PGN 59904)</t>
        </is>
      </c>
      <c r="C5" s="2" t="inlineStr">
        <is>
          <t>https://www.csselectronics.com/pages/j1939-explained-simple-intro-tutorial</t>
        </is>
      </c>
    </row>
    <row r="6">
      <c r="A6" s="2" t="inlineStr">
        <is>
          <t>S4</t>
        </is>
      </c>
      <c r="B6" s="2" t="inlineStr">
        <is>
          <t>FMS-Standard v04 (публичный PDF): параметры J1939 для телематики</t>
        </is>
      </c>
      <c r="C6" s="2" t="inlineStr">
        <is>
          <t>https://www.fms-standard.com/Truck/down_load/fms%20document_v_04_vers.13.10.2017.pdf</t>
        </is>
      </c>
    </row>
    <row r="7">
      <c r="A7" s="2" t="inlineStr">
        <is>
          <t>S5</t>
        </is>
      </c>
      <c r="B7" s="2" t="inlineStr">
        <is>
          <t>ISOBUS Data Dictionary: Total Engine Hours, разрешение 0,05 ч, гармонизировано с J1939-71</t>
        </is>
      </c>
      <c r="C7" s="2" t="inlineStr">
        <is>
          <t>https://www.isobus.net/isobus/dDEntity/693</t>
        </is>
      </c>
    </row>
    <row r="8">
      <c r="A8" s="2" t="inlineStr">
        <is>
          <t>S6</t>
        </is>
      </c>
      <c r="B8" s="2" t="inlineStr">
        <is>
          <t>ISO 15143-3 (AEMP 2.0): телематические данные землеройной техники</t>
        </is>
      </c>
      <c r="C8" s="2" t="inlineStr">
        <is>
          <t>https://www.iso.org/standard/76394.html</t>
        </is>
      </c>
    </row>
    <row r="9">
      <c r="A9" s="2" t="inlineStr">
        <is>
          <t>S7</t>
        </is>
      </c>
      <c r="B9" s="2" t="inlineStr">
        <is>
          <t>152-ФЗ, ст. 18, ч. 5 (локализация персональных данных)</t>
        </is>
      </c>
      <c r="C9" s="2" t="inlineStr">
        <is>
          <t>https://legalacts.ru/doc/152_FZ-o-personalnyh-dannyh/glava-4/statja-18/</t>
        </is>
      </c>
    </row>
    <row r="10">
      <c r="A10" s="2" t="inlineStr">
        <is>
          <t>S8</t>
        </is>
      </c>
      <c r="B10" s="2" t="inlineStr">
        <is>
          <t>Приказ Минтранса России № 285 (EGTS), приложение 7</t>
        </is>
      </c>
      <c r="C10" s="2" t="inlineStr">
        <is>
          <t>https://sudact.ru/law/prikaz-mintransa-rossii-ot-31072012-n-285/</t>
        </is>
      </c>
    </row>
    <row r="11">
      <c r="A11" s="2" t="inlineStr">
        <is>
          <t>S9</t>
        </is>
      </c>
      <c r="B11" s="2" t="inlineStr">
        <is>
          <t>Galileosky 10 Plus: CAN J1939/FMS, архив 170 000 точек, цена-ориентир</t>
        </is>
      </c>
      <c r="C11" s="2" t="inlineStr">
        <is>
          <t>https://com-pass.ru/product/galileosky-10-plus-ext/</t>
        </is>
      </c>
    </row>
    <row r="12">
      <c r="A12" s="2" t="inlineStr">
        <is>
          <t>S10</t>
        </is>
      </c>
      <c r="B12" s="2" t="inlineStr">
        <is>
          <t>Навтелеком SIGNAL S-2653: 2×CAN, J1939 (FMS), цена-ориентир; паспорт</t>
        </is>
      </c>
      <c r="C12" s="2" t="inlineStr">
        <is>
          <t>https://technesis.ru/shop/transport/telemetriya-navigatsiya/navtelecom-signal-s-2653</t>
        </is>
      </c>
    </row>
    <row r="13">
      <c r="A13" s="2" t="inlineStr">
        <is>
          <t>S11</t>
        </is>
      </c>
      <c r="B13" s="2" t="inlineStr">
        <is>
          <t>CAN-LOG B34 (Фарватер), цена-ориентир</t>
        </is>
      </c>
      <c r="C13" s="2" t="inlineStr">
        <is>
          <t>https://canlog.ru/product/can-log-b34/</t>
        </is>
      </c>
    </row>
    <row r="14">
      <c r="A14" s="2" t="inlineStr">
        <is>
          <t>S12</t>
        </is>
      </c>
      <c r="B14" s="2" t="inlineStr">
        <is>
          <t>CAN-LOG B44: поддержка с/х, строительной и лесной техники</t>
        </is>
      </c>
      <c r="C14" s="2" t="inlineStr">
        <is>
          <t>https://xn--80akat2aadbjc.xn--p1ai/catalog/can-adaptery/farvater-can-log-b44/</t>
        </is>
      </c>
    </row>
    <row r="15">
      <c r="A15" s="2" t="inlineStr">
        <is>
          <t>S13</t>
        </is>
      </c>
      <c r="B15" s="2" t="inlineStr">
        <is>
          <t>LRT: Teltonika прекратила поставки в Россию (2022)</t>
        </is>
      </c>
      <c r="C15" s="2" t="inlineStr">
        <is>
          <t>https://www.lrt.lt/en/news-in-english/19/2467389</t>
        </is>
      </c>
    </row>
    <row r="16">
      <c r="A16" s="2" t="inlineStr">
        <is>
          <t>S14</t>
        </is>
      </c>
      <c r="B16" s="2" t="inlineStr">
        <is>
          <t>Wialon: датчики моточасов (абсолютные/относительные)</t>
        </is>
      </c>
      <c r="C16" s="2" t="inlineStr">
        <is>
          <t>https://help.wialon.com/ru/wialon-local/2404/user-guide/monitoring-system/units/unit-properties/sensors/general-properties/additional-properties</t>
        </is>
      </c>
    </row>
    <row r="17">
      <c r="A17" s="2" t="inlineStr">
        <is>
          <t>S15</t>
        </is>
      </c>
      <c r="B17" s="2" t="inlineStr">
        <is>
          <t>ПТЗ «Кировец»: материалы 2021 (телематика Кировец-Агромонитор)</t>
        </is>
      </c>
      <c r="C17" s="2" t="inlineStr">
        <is>
          <t>https://kirovets-ptz.com/upload/medialibrary/d63/</t>
        </is>
      </c>
    </row>
    <row r="18">
      <c r="A18" s="2" t="inlineStr">
        <is>
          <t>S16</t>
        </is>
      </c>
      <c r="B18" s="2" t="inlineStr">
        <is>
          <t>Ростсельмаш: РСМ Агротроник</t>
        </is>
      </c>
      <c r="C18" s="2" t="inlineStr">
        <is>
          <t>https://blog.rostselmash.com/tekhnika-i-tekhnologii/rsm-agrotronik-obektivnyy-auditor-sokhranyayushchiy-vashi-dengi/</t>
        </is>
      </c>
    </row>
    <row r="19">
      <c r="A19" s="2" t="inlineStr">
        <is>
          <t>S17</t>
        </is>
      </c>
      <c r="B19" s="2" t="inlineStr">
        <is>
          <t>КАМАЗ: ИТИС-КАМАЗ</t>
        </is>
      </c>
      <c r="C19" s="2" t="inlineStr">
        <is>
          <t>https://kamaz.ru/production/itis-kamaz/</t>
        </is>
      </c>
    </row>
    <row r="20">
      <c r="A20" s="2" t="inlineStr">
        <is>
          <t>S18</t>
        </is>
      </c>
      <c r="B20" s="2" t="inlineStr">
        <is>
          <t>ЛПК Сибири (08.2025): мониторинг техники Амкодор на Galileosky</t>
        </is>
      </c>
      <c r="C20" s="2" t="inlineStr">
        <is>
          <t>https://lpk-sibiri.ru/logging/harvesters/monitoring-lesnoj-tekhniki-galileosky-amkodor/</t>
        </is>
      </c>
    </row>
    <row r="21">
      <c r="A21" s="2" t="inlineStr">
        <is>
          <t>S19</t>
        </is>
      </c>
      <c r="B21" s="2" t="inlineStr">
        <is>
          <t>МТЗ: Беларус 1523 — двигатель Д-260.1</t>
        </is>
      </c>
      <c r="C21" s="2" t="inlineStr">
        <is>
          <t>https://mtz.ru/catalog/traktory/bazovaya-model-belarus-1523/belarus-1523v</t>
        </is>
      </c>
    </row>
    <row r="22">
      <c r="A22" s="2" t="inlineStr">
        <is>
          <t>S20</t>
        </is>
      </c>
      <c r="B22" s="2" t="inlineStr">
        <is>
          <t>ЧЕТРА Т-11: исполнения с ЯМЗ-236 и Cummins QSB6.7</t>
        </is>
      </c>
      <c r="C22" s="2" t="inlineStr">
        <is>
          <t>https://www.chetra.ru/catalog/buldozers/chetra-t11/</t>
        </is>
      </c>
    </row>
    <row r="23">
      <c r="A23" s="2" t="inlineStr">
        <is>
          <t>S21</t>
        </is>
      </c>
      <c r="B23" s="2" t="inlineStr">
        <is>
          <t>МТС (12.11.2025): ускорение отключения 3G в 2026</t>
        </is>
      </c>
      <c r="C23" s="2" t="inlineStr">
        <is>
          <t>https://moskva.mts.ru/about/media-centr/soobshheniya-kompanii/novosti-mts-v-rossii-i-mire/2025-11-12/</t>
        </is>
      </c>
    </row>
    <row r="24">
      <c r="A24" s="2" t="inlineStr">
        <is>
          <t>S22</t>
        </is>
      </c>
      <c r="B24" s="2" t="inlineStr">
        <is>
          <t>Известия (09.06.2026): 2G сохраняется не менее 10 лет</t>
        </is>
      </c>
      <c r="C24" s="2" t="inlineStr">
        <is>
          <t>https://en.iz.ru/en/node/2111980</t>
        </is>
      </c>
    </row>
    <row r="25">
      <c r="A25" s="2" t="inlineStr">
        <is>
          <t>S23</t>
        </is>
      </c>
      <c r="B25" s="2" t="inlineStr">
        <is>
          <t>Рослесхоз (12.08.2025): свыше 100 тыс. единиц лесной техники подключено к ФГИС ЛК</t>
        </is>
      </c>
      <c r="C25" s="2" t="inlineStr">
        <is>
          <t>https://rosleshoz.gov.ru/news/federal/rosleskhoz-svyshe-100-edinits-lesnoy-tekhniki-podklyucheno-ko-fgis-lesnogo-kompleksa/</t>
        </is>
      </c>
    </row>
    <row r="26">
      <c r="A26" s="2" t="inlineStr">
        <is>
          <t>S24</t>
        </is>
      </c>
      <c r="B26" s="2" t="inlineStr">
        <is>
          <t>Письмо Рослесхоза от 02.11.2024 № ВС-04-29/27268 (навигация лесной техники, ФГИС ЛК через ГАИС ЭРА-ГЛОНАСС)</t>
        </is>
      </c>
      <c r="C26" s="2" t="inlineStr">
        <is>
          <t>https://www.consultant.ru/document/cons_doc_LAW_490340/</t>
        </is>
      </c>
    </row>
    <row r="27">
      <c r="A27" s="2" t="inlineStr">
        <is>
          <t>S25</t>
        </is>
      </c>
      <c r="B27" s="2" t="inlineStr">
        <is>
          <t>Яндекс: коммерческое использование API Карт (мониторинг транспорта в бесплатной версии запрещён)</t>
        </is>
      </c>
      <c r="C27" s="2" t="inlineStr">
        <is>
          <t>https://yandex.com/dev/commercial/doc/</t>
        </is>
      </c>
    </row>
    <row r="28">
      <c r="A28" s="2" t="inlineStr">
        <is>
          <t>S26</t>
        </is>
      </c>
      <c r="B28" s="2" t="inlineStr">
        <is>
          <t>OSMF: политика использования тайлов OpenStreetMap</t>
        </is>
      </c>
      <c r="C28" s="2" t="inlineStr">
        <is>
          <t>https://operations.osmfoundation.org/policies/tiles/</t>
        </is>
      </c>
    </row>
    <row r="29">
      <c r="A29" s="2" t="inlineStr">
        <is>
          <t>S27</t>
        </is>
      </c>
      <c r="B29" s="2" t="inlineStr">
        <is>
          <t>RuStore: публикация и проверка приложений</t>
        </is>
      </c>
      <c r="C29" s="2" t="inlineStr">
        <is>
          <t>https://www.rustore.ru/help/en/developers/publishing-and-verifying-apps/</t>
        </is>
      </c>
    </row>
    <row r="30">
      <c r="A30" s="2" t="inlineStr">
        <is>
          <t>S28</t>
        </is>
      </c>
      <c r="B30" s="2" t="inlineStr">
        <is>
          <t>Lubes'N'Greases: российский рынок остаётся важным для FUCHS</t>
        </is>
      </c>
      <c r="C30" s="2" t="inlineStr">
        <is>
          <t>https://www.lubesngreases.com/lubereport-emea/5_36/russian-market-remains-crucial-to-fuchs/</t>
        </is>
      </c>
    </row>
    <row r="31">
      <c r="A31" s="2" t="inlineStr">
        <is>
          <t>S29</t>
        </is>
      </c>
      <c r="B31" s="2" t="inlineStr">
        <is>
          <t>Реестр: ООО «ФУКС ОЙЛ» (ОГРН 1027600839078)</t>
        </is>
      </c>
      <c r="C31" s="2" t="inlineStr">
        <is>
          <t>https://reabiz.ru/organization/1027600839078-fuks-oyl</t>
        </is>
      </c>
    </row>
    <row r="32">
      <c r="A32" s="2" t="inlineStr">
        <is>
          <t>S30</t>
        </is>
      </c>
      <c r="B32" s="2" t="inlineStr">
        <is>
          <t>Минтранс: нормы расхода топлив и смазочных материалов (АМ-23-р)</t>
        </is>
      </c>
      <c r="C32" s="2" t="inlineStr">
        <is>
          <t>https://www.mintrans.gov.ru/documents/2/13592</t>
        </is>
      </c>
    </row>
    <row r="33">
      <c r="A33" s="2" t="inlineStr">
        <is>
          <t>S31</t>
        </is>
      </c>
      <c r="B33" s="2" t="inlineStr">
        <is>
          <t>ГОСТ 20793-2009 отменён 01.07.2023, заменён ГОСТ 20793-2023</t>
        </is>
      </c>
      <c r="C33" s="2" t="inlineStr">
        <is>
          <t>https://allgosts.ru/amp/65/060/gost_20793-2009</t>
        </is>
      </c>
    </row>
    <row r="34">
      <c r="A34" s="2" t="inlineStr">
        <is>
          <t>S32</t>
        </is>
      </c>
      <c r="B34" s="2" t="inlineStr">
        <is>
          <t>CyberLeninka: эффективность эксплуатации БелАЗ-7540 (годовая наработка, простои)</t>
        </is>
      </c>
      <c r="C34" s="2" t="inlineStr">
        <is>
          <t>https://cyberleninka.ru/article/n/analiz-effektivnosti-ekspluatatsii-avtosamosvalov-belaz-7540/</t>
        </is>
      </c>
    </row>
    <row r="35">
      <c r="A35" s="2" t="inlineStr">
        <is>
          <t>S33</t>
        </is>
      </c>
      <c r="B35" s="2" t="inlineStr">
        <is>
          <t>Руководство МТЗ 80.1/82.1 (EN): периодичность ТО</t>
        </is>
      </c>
      <c r="C35" s="2" t="inlineStr">
        <is>
          <t>http://www.mtzequipment.com/sites/default/files/manuals/80.1_80.2_82.1_82.2_82P_ENG_manual.pdf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2026-09-23T11:04:27Z</dcterms:created>
  <dcterms:modified xsi:type="dcterms:W3CDTF">2026-09-23T11:04:27Z</dcterms:modified>
</cp:coreProperties>
</file>